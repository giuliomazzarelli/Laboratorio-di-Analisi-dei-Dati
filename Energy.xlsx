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zza\Desktop\[LabMZ]_Mazzarelli\"/>
    </mc:Choice>
  </mc:AlternateContent>
  <xr:revisionPtr revIDLastSave="0" documentId="13_ncr:1_{764C00CD-453C-428C-B1A7-27BAA2144E71}" xr6:coauthVersionLast="45" xr6:coauthVersionMax="45" xr10:uidLastSave="{00000000-0000-0000-0000-000000000000}"/>
  <bookViews>
    <workbookView xWindow="-108" yWindow="-108" windowWidth="23256" windowHeight="12576" firstSheet="1" activeTab="10" xr2:uid="{9DBB8105-FFA9-4320-880E-B359E3ACC720}"/>
  </bookViews>
  <sheets>
    <sheet name="region" sheetId="21" r:id="rId1"/>
    <sheet name="p.greggio" sheetId="13" r:id="rId2"/>
    <sheet name="p.raffinati" sheetId="14" r:id="rId3"/>
    <sheet name="p.coalignite" sheetId="15" r:id="rId4"/>
    <sheet name="p.gas" sheetId="16" r:id="rId5"/>
    <sheet name="p.ele" sheetId="20" r:id="rId6"/>
    <sheet name="s.elerinnov" sheetId="17" r:id="rId7"/>
    <sheet name="s.windsolar" sheetId="18" r:id="rId8"/>
    <sheet name="co2" sheetId="6" r:id="rId9"/>
    <sheet name="unionedati" sheetId="19" r:id="rId10"/>
    <sheet name="codebook" sheetId="8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" i="19" l="1"/>
  <c r="B4" i="19"/>
  <c r="B5" i="19"/>
  <c r="B6" i="19"/>
  <c r="B7" i="19"/>
  <c r="B8" i="19"/>
  <c r="B9" i="19"/>
  <c r="B10" i="19"/>
  <c r="B11" i="19"/>
  <c r="B12" i="19"/>
  <c r="B13" i="19"/>
  <c r="B14" i="19"/>
  <c r="B15" i="19"/>
  <c r="B16" i="19"/>
  <c r="B17" i="19"/>
  <c r="B18" i="19"/>
  <c r="B19" i="19"/>
  <c r="B20" i="19"/>
  <c r="B21" i="19"/>
  <c r="B22" i="19"/>
  <c r="B23" i="19"/>
  <c r="B24" i="19"/>
  <c r="B25" i="19"/>
  <c r="B26" i="19"/>
  <c r="B27" i="19"/>
  <c r="B28" i="19"/>
  <c r="B29" i="19"/>
  <c r="B30" i="19"/>
  <c r="B31" i="19"/>
  <c r="B32" i="19"/>
  <c r="B33" i="19"/>
  <c r="B34" i="19"/>
  <c r="B35" i="19"/>
  <c r="B36" i="19"/>
  <c r="B37" i="19"/>
  <c r="B38" i="19"/>
  <c r="B39" i="19"/>
  <c r="B40" i="19"/>
  <c r="B41" i="19"/>
  <c r="B42" i="19"/>
  <c r="B43" i="19"/>
  <c r="B44" i="19"/>
  <c r="B45" i="19"/>
  <c r="B2" i="19"/>
  <c r="G3" i="19" l="1"/>
  <c r="G4" i="19"/>
  <c r="G5" i="19"/>
  <c r="G6" i="19"/>
  <c r="G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2" i="19"/>
  <c r="I3" i="19"/>
  <c r="I4" i="19"/>
  <c r="I5" i="19"/>
  <c r="I6" i="19"/>
  <c r="I7" i="19"/>
  <c r="I8" i="19"/>
  <c r="I9" i="19"/>
  <c r="I10" i="19"/>
  <c r="I11" i="19"/>
  <c r="I12" i="19"/>
  <c r="I13" i="19"/>
  <c r="I14" i="19"/>
  <c r="I15" i="19"/>
  <c r="I16" i="19"/>
  <c r="I17" i="19"/>
  <c r="I18" i="19"/>
  <c r="I19" i="19"/>
  <c r="I20" i="19"/>
  <c r="I21" i="19"/>
  <c r="I22" i="19"/>
  <c r="I23" i="19"/>
  <c r="I24" i="19"/>
  <c r="I25" i="19"/>
  <c r="I26" i="19"/>
  <c r="I27" i="19"/>
  <c r="I28" i="19"/>
  <c r="I29" i="19"/>
  <c r="I30" i="19"/>
  <c r="I31" i="19"/>
  <c r="I32" i="19"/>
  <c r="I33" i="19"/>
  <c r="I34" i="19"/>
  <c r="I35" i="19"/>
  <c r="I36" i="19"/>
  <c r="I37" i="19"/>
  <c r="I38" i="19"/>
  <c r="I39" i="19"/>
  <c r="I40" i="19"/>
  <c r="I41" i="19"/>
  <c r="I42" i="19"/>
  <c r="I43" i="19"/>
  <c r="I44" i="19"/>
  <c r="I45" i="19"/>
  <c r="I2" i="19"/>
  <c r="H3" i="19"/>
  <c r="H4" i="19"/>
  <c r="H5" i="19"/>
  <c r="H6" i="19"/>
  <c r="H7" i="19"/>
  <c r="H8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5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H39" i="19"/>
  <c r="H40" i="19"/>
  <c r="H41" i="19"/>
  <c r="H42" i="19"/>
  <c r="H43" i="19"/>
  <c r="H44" i="19"/>
  <c r="H45" i="19"/>
  <c r="H2" i="19"/>
  <c r="J2" i="19"/>
  <c r="J3" i="19"/>
  <c r="J4" i="19"/>
  <c r="J5" i="19"/>
  <c r="J6" i="19"/>
  <c r="J7" i="19"/>
  <c r="J8" i="19"/>
  <c r="J9" i="19"/>
  <c r="J10" i="19"/>
  <c r="J11" i="19"/>
  <c r="J12" i="19"/>
  <c r="J13" i="19"/>
  <c r="J14" i="19"/>
  <c r="J15" i="19"/>
  <c r="J16" i="19"/>
  <c r="J17" i="19"/>
  <c r="J18" i="19"/>
  <c r="J19" i="19"/>
  <c r="J20" i="19"/>
  <c r="J21" i="19"/>
  <c r="J22" i="19"/>
  <c r="J23" i="19"/>
  <c r="J24" i="19"/>
  <c r="J25" i="19"/>
  <c r="J26" i="19"/>
  <c r="J27" i="19"/>
  <c r="J28" i="19"/>
  <c r="J29" i="19"/>
  <c r="J30" i="19"/>
  <c r="J31" i="19"/>
  <c r="J32" i="19"/>
  <c r="J33" i="19"/>
  <c r="J34" i="19"/>
  <c r="J35" i="19"/>
  <c r="J36" i="19"/>
  <c r="J37" i="19"/>
  <c r="J38" i="19"/>
  <c r="J39" i="19"/>
  <c r="J40" i="19"/>
  <c r="J41" i="19"/>
  <c r="J42" i="19"/>
  <c r="J43" i="19"/>
  <c r="J44" i="19"/>
  <c r="J45" i="19"/>
  <c r="F2" i="19"/>
  <c r="F3" i="19"/>
  <c r="F4" i="19"/>
  <c r="F5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27" i="19"/>
  <c r="F28" i="19"/>
  <c r="F29" i="19"/>
  <c r="F30" i="19"/>
  <c r="F31" i="19"/>
  <c r="F32" i="19"/>
  <c r="F33" i="19"/>
  <c r="F34" i="19"/>
  <c r="F35" i="19"/>
  <c r="F36" i="19"/>
  <c r="F37" i="19"/>
  <c r="F38" i="19"/>
  <c r="F39" i="19"/>
  <c r="F40" i="19"/>
  <c r="F41" i="19"/>
  <c r="F42" i="19"/>
  <c r="F43" i="19"/>
  <c r="F44" i="19"/>
  <c r="F45" i="19"/>
  <c r="E2" i="19"/>
  <c r="E3" i="19"/>
  <c r="E4" i="19"/>
  <c r="E5" i="19"/>
  <c r="E6" i="19"/>
  <c r="E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E33" i="19"/>
  <c r="E34" i="19"/>
  <c r="E35" i="19"/>
  <c r="E36" i="19"/>
  <c r="E37" i="19"/>
  <c r="E38" i="19"/>
  <c r="E39" i="19"/>
  <c r="E40" i="19"/>
  <c r="E41" i="19"/>
  <c r="E42" i="19"/>
  <c r="E43" i="19"/>
  <c r="E44" i="19"/>
  <c r="E45" i="19"/>
  <c r="D2" i="19"/>
  <c r="D3" i="19"/>
  <c r="D4" i="19"/>
  <c r="D5" i="19"/>
  <c r="D6" i="19"/>
  <c r="D7" i="19"/>
  <c r="D8" i="19"/>
  <c r="D9" i="19"/>
  <c r="D10" i="19"/>
  <c r="D11" i="19"/>
  <c r="D12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3" i="19"/>
  <c r="D44" i="19"/>
  <c r="D45" i="19"/>
  <c r="C2" i="19"/>
  <c r="C3" i="19"/>
  <c r="C4" i="19"/>
  <c r="C5" i="19"/>
  <c r="C6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1" i="19"/>
  <c r="C42" i="19"/>
  <c r="C43" i="19"/>
  <c r="C44" i="19"/>
  <c r="C45" i="19"/>
</calcChain>
</file>

<file path=xl/sharedStrings.xml><?xml version="1.0" encoding="utf-8"?>
<sst xmlns="http://schemas.openxmlformats.org/spreadsheetml/2006/main" count="2158" uniqueCount="491">
  <si>
    <t>Crude oil production (Mt)</t>
  </si>
  <si>
    <t>World</t>
  </si>
  <si>
    <t>OECD</t>
  </si>
  <si>
    <t>G7</t>
  </si>
  <si>
    <t>BRICS</t>
  </si>
  <si>
    <t>Europe</t>
  </si>
  <si>
    <t>European Union</t>
  </si>
  <si>
    <t>Belgium</t>
  </si>
  <si>
    <t>Czech Republic</t>
  </si>
  <si>
    <t>France</t>
  </si>
  <si>
    <t>Germany</t>
  </si>
  <si>
    <t>Italy</t>
  </si>
  <si>
    <t>Netherlands</t>
  </si>
  <si>
    <t>Poland</t>
  </si>
  <si>
    <t>Portugal</t>
  </si>
  <si>
    <t>Romania</t>
  </si>
  <si>
    <t>Spain</t>
  </si>
  <si>
    <t>Sweden</t>
  </si>
  <si>
    <t>United Kingdom</t>
  </si>
  <si>
    <t>Norway</t>
  </si>
  <si>
    <t>Turkey</t>
  </si>
  <si>
    <t>CIS</t>
  </si>
  <si>
    <t>Kazakhstan</t>
  </si>
  <si>
    <t>Russia</t>
  </si>
  <si>
    <t>Ukraine</t>
  </si>
  <si>
    <t>Uzbekistan</t>
  </si>
  <si>
    <t>America</t>
  </si>
  <si>
    <t>North America</t>
  </si>
  <si>
    <t>Canada</t>
  </si>
  <si>
    <t>United States</t>
  </si>
  <si>
    <t>Latin America</t>
  </si>
  <si>
    <t>Argentina</t>
  </si>
  <si>
    <t>Brazil</t>
  </si>
  <si>
    <t>Chile</t>
  </si>
  <si>
    <t>Colombia</t>
  </si>
  <si>
    <t>Mexico</t>
  </si>
  <si>
    <t>Venezuela</t>
  </si>
  <si>
    <t>Asia</t>
  </si>
  <si>
    <t>China</t>
  </si>
  <si>
    <t>India</t>
  </si>
  <si>
    <t>Indonesia</t>
  </si>
  <si>
    <t>Japan</t>
  </si>
  <si>
    <t>Malaysia</t>
  </si>
  <si>
    <t>South Korea</t>
  </si>
  <si>
    <t>Taiwan</t>
  </si>
  <si>
    <t>Thailand</t>
  </si>
  <si>
    <t>Pacific</t>
  </si>
  <si>
    <t>Australia</t>
  </si>
  <si>
    <t>New Zealand</t>
  </si>
  <si>
    <t>Africa</t>
  </si>
  <si>
    <t>Algeria</t>
  </si>
  <si>
    <t>Egypt</t>
  </si>
  <si>
    <t>Nigeria</t>
  </si>
  <si>
    <t>South Africa</t>
  </si>
  <si>
    <t>Middle-East</t>
  </si>
  <si>
    <t>Iran</t>
  </si>
  <si>
    <t>Kuwait</t>
  </si>
  <si>
    <t>Saudi Arabia</t>
  </si>
  <si>
    <t>United Arab Emirates</t>
  </si>
  <si>
    <t>Coal and lignite production (Mt)</t>
  </si>
  <si>
    <t>CO2 emissions from fuel combustion (MtCO2)</t>
  </si>
  <si>
    <t>Refined oil products production (Mt)</t>
  </si>
  <si>
    <t>Nome Variabile</t>
  </si>
  <si>
    <t>Descrizione Variabile</t>
  </si>
  <si>
    <t>Valori</t>
  </si>
  <si>
    <t>Tipo</t>
  </si>
  <si>
    <t>Nome del Paese</t>
  </si>
  <si>
    <t>Produzione di greggio (Mt)</t>
  </si>
  <si>
    <t>Produzione di raffinati (Mt)</t>
  </si>
  <si>
    <t>Produzione di carbone e lignite (Mt)</t>
  </si>
  <si>
    <t>Emissioni di CO derivanti dalla combustione di carburanti (Mt)</t>
  </si>
  <si>
    <t>Numerica: 0 valore minimo, -</t>
  </si>
  <si>
    <t>Quantitativa continua</t>
  </si>
  <si>
    <t>Share of renewables in electricity production (%)</t>
  </si>
  <si>
    <t>Share of wind and solar in electricity production  (%)</t>
  </si>
  <si>
    <t>Natural gas production (bcm)</t>
  </si>
  <si>
    <t>p.greggio</t>
  </si>
  <si>
    <t>p.raffinati</t>
  </si>
  <si>
    <t>p.coalignite</t>
  </si>
  <si>
    <t>p.gas</t>
  </si>
  <si>
    <t>s.elerinnov</t>
  </si>
  <si>
    <t>s.windsolar</t>
  </si>
  <si>
    <t>co2</t>
  </si>
  <si>
    <t>s.windsolr</t>
  </si>
  <si>
    <t>Numerica: 0 valore minimo, 100 valore massimo</t>
  </si>
  <si>
    <t>Electricity production (TWh)</t>
  </si>
  <si>
    <t>p.ele</t>
  </si>
  <si>
    <t>Produzione di energia elettrica (TWh)</t>
  </si>
  <si>
    <t>Percentuale di energia rinnovabile sul totale di energia elettrica (%)</t>
  </si>
  <si>
    <t>Percentuale di energia eolica e solare sul totale di energia elettrica prodotta (%)</t>
  </si>
  <si>
    <t>Produzione di gas naturali (bcm)</t>
  </si>
  <si>
    <t>bcm: billion cubic metres (miliardo di metri cubi)</t>
  </si>
  <si>
    <t>TWh: Terawattora | 1,0e+12 Wattora</t>
  </si>
  <si>
    <t>Mt: Megatonnelate | 1,0e+09 Chilogrammi</t>
  </si>
  <si>
    <t>geo</t>
  </si>
  <si>
    <t>name</t>
  </si>
  <si>
    <t>four_regions</t>
  </si>
  <si>
    <t>eight_regions</t>
  </si>
  <si>
    <t>six_regions</t>
  </si>
  <si>
    <t>members_oecd_g77</t>
  </si>
  <si>
    <t>Latitude</t>
  </si>
  <si>
    <t>Longitude</t>
  </si>
  <si>
    <t>UN member since</t>
  </si>
  <si>
    <t>World bank region</t>
  </si>
  <si>
    <t>World bank, 4 income groups 2017</t>
  </si>
  <si>
    <t>World bank, 3 income groups 2017</t>
  </si>
  <si>
    <t>afg</t>
  </si>
  <si>
    <t>Afghanistan</t>
  </si>
  <si>
    <t>asia</t>
  </si>
  <si>
    <t>asia_west</t>
  </si>
  <si>
    <t>south_asia</t>
  </si>
  <si>
    <t>g77</t>
  </si>
  <si>
    <t>South Asia</t>
  </si>
  <si>
    <t>Low income</t>
  </si>
  <si>
    <t>alb</t>
  </si>
  <si>
    <t>Albania</t>
  </si>
  <si>
    <t>europe</t>
  </si>
  <si>
    <t>europe_east</t>
  </si>
  <si>
    <t>europe_central_asia</t>
  </si>
  <si>
    <t>others</t>
  </si>
  <si>
    <t>Europe &amp; Central Asia</t>
  </si>
  <si>
    <t>Upper middle income</t>
  </si>
  <si>
    <t>dza</t>
  </si>
  <si>
    <t>africa</t>
  </si>
  <si>
    <t>africa_north</t>
  </si>
  <si>
    <t>middle_east_north_africa</t>
  </si>
  <si>
    <t>Middle East &amp; North Africa</t>
  </si>
  <si>
    <t>and</t>
  </si>
  <si>
    <t>Andorra</t>
  </si>
  <si>
    <t>europe_west</t>
  </si>
  <si>
    <t>High income</t>
  </si>
  <si>
    <t>ago</t>
  </si>
  <si>
    <t>Angola</t>
  </si>
  <si>
    <t>africa_sub_saharan</t>
  </si>
  <si>
    <t>sub_saharan_africa</t>
  </si>
  <si>
    <t>Sub-Saharan Africa</t>
  </si>
  <si>
    <t>Lower middle income</t>
  </si>
  <si>
    <t>atg</t>
  </si>
  <si>
    <t>Antigua and Barbuda</t>
  </si>
  <si>
    <t>americas</t>
  </si>
  <si>
    <t>america_north</t>
  </si>
  <si>
    <t>america</t>
  </si>
  <si>
    <t>Latin America &amp; Caribbean</t>
  </si>
  <si>
    <t>arg</t>
  </si>
  <si>
    <t>america_south</t>
  </si>
  <si>
    <t>arm</t>
  </si>
  <si>
    <t>Armenia</t>
  </si>
  <si>
    <t>aus</t>
  </si>
  <si>
    <t>east_asia_pacific</t>
  </si>
  <si>
    <t>oecd</t>
  </si>
  <si>
    <t>East Asia &amp; Pacific</t>
  </si>
  <si>
    <t>aut</t>
  </si>
  <si>
    <t>Austria</t>
  </si>
  <si>
    <t>aze</t>
  </si>
  <si>
    <t>Azerbaijan</t>
  </si>
  <si>
    <t>bhs</t>
  </si>
  <si>
    <t>Bahamas</t>
  </si>
  <si>
    <t>bhr</t>
  </si>
  <si>
    <t>Bahrain</t>
  </si>
  <si>
    <t>bgd</t>
  </si>
  <si>
    <t>Bangladesh</t>
  </si>
  <si>
    <t>brb</t>
  </si>
  <si>
    <t>Barbados</t>
  </si>
  <si>
    <t>blr</t>
  </si>
  <si>
    <t>Belarus</t>
  </si>
  <si>
    <t>bel</t>
  </si>
  <si>
    <t>blz</t>
  </si>
  <si>
    <t>Belize</t>
  </si>
  <si>
    <t>ben</t>
  </si>
  <si>
    <t>Benin</t>
  </si>
  <si>
    <t>btn</t>
  </si>
  <si>
    <t>Bhutan</t>
  </si>
  <si>
    <t>bol</t>
  </si>
  <si>
    <t>Bolivia</t>
  </si>
  <si>
    <t>bih</t>
  </si>
  <si>
    <t>Bosnia and Herzegovina</t>
  </si>
  <si>
    <t>bwa</t>
  </si>
  <si>
    <t>Botswana</t>
  </si>
  <si>
    <t>bra</t>
  </si>
  <si>
    <t>brn</t>
  </si>
  <si>
    <t>Brunei</t>
  </si>
  <si>
    <t>bgr</t>
  </si>
  <si>
    <t>Bulgaria</t>
  </si>
  <si>
    <t>bfa</t>
  </si>
  <si>
    <t>Burkina Faso</t>
  </si>
  <si>
    <t>bdi</t>
  </si>
  <si>
    <t>Burundi</t>
  </si>
  <si>
    <t>khm</t>
  </si>
  <si>
    <t>Cambodia</t>
  </si>
  <si>
    <t>cmr</t>
  </si>
  <si>
    <t>Cameroon</t>
  </si>
  <si>
    <t>can</t>
  </si>
  <si>
    <t>cpv</t>
  </si>
  <si>
    <t>Cape Verde</t>
  </si>
  <si>
    <t>caf</t>
  </si>
  <si>
    <t>Central African Republic</t>
  </si>
  <si>
    <t>tcd</t>
  </si>
  <si>
    <t>Chad</t>
  </si>
  <si>
    <t>chl</t>
  </si>
  <si>
    <t>chn</t>
  </si>
  <si>
    <t>col</t>
  </si>
  <si>
    <t>com</t>
  </si>
  <si>
    <t>Comoros</t>
  </si>
  <si>
    <t>cod</t>
  </si>
  <si>
    <t>Congo, Dem. Rep.</t>
  </si>
  <si>
    <t>cog</t>
  </si>
  <si>
    <t>Congo, Rep.</t>
  </si>
  <si>
    <t>cri</t>
  </si>
  <si>
    <t>Costa Rica</t>
  </si>
  <si>
    <t>civ</t>
  </si>
  <si>
    <t>Cote d'Ivoire</t>
  </si>
  <si>
    <t>hrv</t>
  </si>
  <si>
    <t>Croatia</t>
  </si>
  <si>
    <t>cub</t>
  </si>
  <si>
    <t>Cuba</t>
  </si>
  <si>
    <t>cyp</t>
  </si>
  <si>
    <t>Cyprus</t>
  </si>
  <si>
    <t>cze</t>
  </si>
  <si>
    <t>dnk</t>
  </si>
  <si>
    <t>Denmark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</si>
  <si>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</si>
  <si>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</si>
  <si>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</si>
  <si>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</si>
  <si>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</si>
  <si>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</si>
  <si>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</si>
  <si>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</si>
  <si>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egy</t>
  </si>
  <si>
    <t>slv</t>
  </si>
  <si>
    <t>El Salvador</t>
  </si>
  <si>
    <t>gnq</t>
  </si>
  <si>
    <t>Equatorial Guinea</t>
  </si>
  <si>
    <t>eri</t>
  </si>
  <si>
    <t>Eritrea</t>
  </si>
  <si>
    <t>est</t>
  </si>
  <si>
    <t>Estonia</t>
  </si>
  <si>
    <t>eth</t>
  </si>
  <si>
    <t>Ethiopia</t>
  </si>
  <si>
    <t>fji</t>
  </si>
  <si>
    <t>Fiji</t>
  </si>
  <si>
    <t>fin</t>
  </si>
  <si>
    <t>Finland</t>
  </si>
  <si>
    <t>fra</t>
  </si>
  <si>
    <t>gab</t>
  </si>
  <si>
    <t>Gabon</t>
  </si>
  <si>
    <t>gmb</t>
  </si>
  <si>
    <t>Gambia</t>
  </si>
  <si>
    <t>Georgia</t>
  </si>
  <si>
    <t>deu</t>
  </si>
  <si>
    <t>gha</t>
  </si>
  <si>
    <t>Ghana</t>
  </si>
  <si>
    <t>grc</t>
  </si>
  <si>
    <t>Greece</t>
  </si>
  <si>
    <t>grd</t>
  </si>
  <si>
    <t>Grenada</t>
  </si>
  <si>
    <t>gtm</t>
  </si>
  <si>
    <t>Guatemala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</si>
  <si>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</si>
  <si>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</si>
  <si>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</si>
  <si>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</si>
  <si>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</si>
  <si>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</si>
  <si>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</si>
  <si>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</si>
  <si>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hos</t>
  </si>
  <si>
    <t>Holy See</t>
  </si>
  <si>
    <t>hnd</t>
  </si>
  <si>
    <t>Honduras</t>
  </si>
  <si>
    <t>hkg</t>
  </si>
  <si>
    <t>Hong Kong, China</t>
  </si>
  <si>
    <t>hun</t>
  </si>
  <si>
    <t>Hungary</t>
  </si>
  <si>
    <t>isl</t>
  </si>
  <si>
    <t>Iceland</t>
  </si>
  <si>
    <t>ind</t>
  </si>
  <si>
    <t>idn</t>
  </si>
  <si>
    <t>irn</t>
  </si>
  <si>
    <t>irq</t>
  </si>
  <si>
    <t>Iraq</t>
  </si>
  <si>
    <t>irl</t>
  </si>
  <si>
    <t>Ireland</t>
  </si>
  <si>
    <t>isr</t>
  </si>
  <si>
    <t>Israel</t>
  </si>
  <si>
    <t>ita</t>
  </si>
  <si>
    <t>jam</t>
  </si>
  <si>
    <t>Jamaica</t>
  </si>
  <si>
    <t>jpn</t>
  </si>
  <si>
    <t>jor</t>
  </si>
  <si>
    <t>Jordan</t>
  </si>
  <si>
    <t>kaz</t>
  </si>
  <si>
    <t>ken</t>
  </si>
  <si>
    <t>Kenya</t>
  </si>
  <si>
    <t>kir</t>
  </si>
  <si>
    <t>Kiribati</t>
  </si>
  <si>
    <t>prk</t>
  </si>
  <si>
    <t>North Korea</t>
  </si>
  <si>
    <t>kor</t>
  </si>
  <si>
    <t>kwt</t>
  </si>
  <si>
    <t>kgz</t>
  </si>
  <si>
    <t>Kyrgyz Republic</t>
  </si>
  <si>
    <t>lao</t>
  </si>
  <si>
    <t>Lao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</si>
  <si>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</si>
  <si>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</si>
  <si>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</si>
  <si>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</si>
  <si>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</si>
  <si>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</si>
  <si>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</si>
  <si>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</si>
  <si>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</si>
  <si>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</si>
  <si>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</si>
  <si>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</si>
  <si>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</si>
  <si>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</si>
  <si>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</si>
  <si>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</si>
  <si>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mkd</t>
  </si>
  <si>
    <t>Macedonia, FYR</t>
  </si>
  <si>
    <t>mdg</t>
  </si>
  <si>
    <t>Madagascar</t>
  </si>
  <si>
    <t>mwi</t>
  </si>
  <si>
    <t>Malawi</t>
  </si>
  <si>
    <t>mys</t>
  </si>
  <si>
    <t>mdv</t>
  </si>
  <si>
    <t>Maldives</t>
  </si>
  <si>
    <t>mli</t>
  </si>
  <si>
    <t>Mali</t>
  </si>
  <si>
    <t>mlt</t>
  </si>
  <si>
    <t>Malta</t>
  </si>
  <si>
    <t>mhl</t>
  </si>
  <si>
    <t>Marshall Islands</t>
  </si>
  <si>
    <t>mrt</t>
  </si>
  <si>
    <t>Mauritania</t>
  </si>
  <si>
    <t>mus</t>
  </si>
  <si>
    <t>Mauritius</t>
  </si>
  <si>
    <t>mex</t>
  </si>
  <si>
    <t>fsm</t>
  </si>
  <si>
    <t>Micronesia, Fed. Sts.</t>
  </si>
  <si>
    <t>mda</t>
  </si>
  <si>
    <t>Moldova</t>
  </si>
  <si>
    <t>mco</t>
  </si>
  <si>
    <t>Monaco</t>
  </si>
  <si>
    <t>mng</t>
  </si>
  <si>
    <t>Mongolia</t>
  </si>
  <si>
    <t>mne</t>
  </si>
  <si>
    <t>Montenegro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</si>
  <si>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</si>
  <si>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</si>
  <si>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</si>
  <si>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</si>
  <si>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</si>
  <si>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</si>
  <si>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</si>
  <si>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</si>
  <si>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</si>
  <si>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</si>
  <si>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npl</t>
  </si>
  <si>
    <t>Nepal</t>
  </si>
  <si>
    <t>nld</t>
  </si>
  <si>
    <t>nzl</t>
  </si>
  <si>
    <t>nic</t>
  </si>
  <si>
    <t>Nicaragua</t>
  </si>
  <si>
    <t>ner</t>
  </si>
  <si>
    <t>Niger</t>
  </si>
  <si>
    <t>nga</t>
  </si>
  <si>
    <t>nor</t>
  </si>
  <si>
    <t>omn</t>
  </si>
  <si>
    <t>Oman</t>
  </si>
  <si>
    <t>pak</t>
  </si>
  <si>
    <t>Pakistan</t>
  </si>
  <si>
    <t>plw</t>
  </si>
  <si>
    <t>Palau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</si>
  <si>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</si>
  <si>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</si>
  <si>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</si>
  <si>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</si>
  <si>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</si>
  <si>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</si>
  <si>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</si>
  <si>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</si>
  <si>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</si>
  <si>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</si>
  <si>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pol</t>
  </si>
  <si>
    <t>prt</t>
  </si>
  <si>
    <t>qat</t>
  </si>
  <si>
    <t>Qatar</t>
  </si>
  <si>
    <t>rou</t>
  </si>
  <si>
    <t>rus</t>
  </si>
  <si>
    <t>rwa</t>
  </si>
  <si>
    <t>Rwanda</t>
  </si>
  <si>
    <t>kna</t>
  </si>
  <si>
    <t>St. Kitts and Nevis</t>
  </si>
  <si>
    <t>lca</t>
  </si>
  <si>
    <t>St. Lucia</t>
  </si>
  <si>
    <t>vct</t>
  </si>
  <si>
    <t>St. Vincent and the Grenadines</t>
  </si>
  <si>
    <t>wsm</t>
  </si>
  <si>
    <t>Samoa</t>
  </si>
  <si>
    <t>smr</t>
  </si>
  <si>
    <t>San Marino</t>
  </si>
  <si>
    <t>stp</t>
  </si>
  <si>
    <t>Sao Tome and Principe</t>
  </si>
  <si>
    <t>sau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</si>
  <si>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</si>
  <si>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</si>
  <si>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</si>
  <si>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</si>
  <si>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</si>
  <si>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</si>
  <si>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</si>
  <si>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</si>
  <si>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</si>
  <si>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</si>
  <si>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</si>
  <si>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 Republic</t>
  </si>
  <si>
    <t>svn</t>
  </si>
  <si>
    <t>Slovenia</t>
  </si>
  <si>
    <t>slb</t>
  </si>
  <si>
    <t>Solomon Islands</t>
  </si>
  <si>
    <t>som</t>
  </si>
  <si>
    <t>Somalia</t>
  </si>
  <si>
    <t>zaf</t>
  </si>
  <si>
    <t>esp</t>
  </si>
  <si>
    <t>lka</t>
  </si>
  <si>
    <t>Sri Lanka</t>
  </si>
  <si>
    <t>sdn</t>
  </si>
  <si>
    <t>Sudan</t>
  </si>
  <si>
    <t>sur</t>
  </si>
  <si>
    <t>Suriname</t>
  </si>
  <si>
    <t>swz</t>
  </si>
  <si>
    <t>Swaziland</t>
  </si>
  <si>
    <t>swe</t>
  </si>
  <si>
    <t>che</t>
  </si>
  <si>
    <t>Switzerland</t>
  </si>
  <si>
    <t>syr</t>
  </si>
  <si>
    <t>Syria</t>
  </si>
  <si>
    <t>twn</t>
  </si>
  <si>
    <t>tjk</t>
  </si>
  <si>
    <t>Tajikistan</t>
  </si>
  <si>
    <t>tza</t>
  </si>
  <si>
    <t>Tanzania</t>
  </si>
  <si>
    <t>tha</t>
  </si>
  <si>
    <t>tls</t>
  </si>
  <si>
    <t>Timor-Leste</t>
  </si>
  <si>
    <t>tgo</t>
  </si>
  <si>
    <t>Togo</t>
  </si>
  <si>
    <t>ton</t>
  </si>
  <si>
    <t>Tonga</t>
  </si>
  <si>
    <t>tto</t>
  </si>
  <si>
    <t>Trinidad and Tobago</t>
  </si>
  <si>
    <t>tun</t>
  </si>
  <si>
    <t>Tunisia</t>
  </si>
  <si>
    <t>tur</t>
  </si>
  <si>
    <t>tkm</t>
  </si>
  <si>
    <t>Turkmenistan</t>
  </si>
  <si>
    <t>tuv</t>
  </si>
  <si>
    <t>Tuvalu</t>
  </si>
  <si>
    <t>uga</t>
  </si>
  <si>
    <t>Uganda</t>
  </si>
  <si>
    <t>ukr</t>
  </si>
  <si>
    <t>are</t>
  </si>
  <si>
    <t>gbr</t>
  </si>
  <si>
    <t>usa</t>
  </si>
  <si>
    <t>ury</t>
  </si>
  <si>
    <t>Uruguay</t>
  </si>
  <si>
    <t>uzb</t>
  </si>
  <si>
    <t>vut</t>
  </si>
  <si>
    <t>Vanuatu</t>
  </si>
  <si>
    <t>ven</t>
  </si>
  <si>
    <t>pse</t>
  </si>
  <si>
    <t>Palestine</t>
  </si>
  <si>
    <t>vnm</t>
  </si>
  <si>
    <t>Vietnam</t>
  </si>
  <si>
    <t>yem</t>
  </si>
  <si>
    <t>Yemen</t>
  </si>
  <si>
    <t>zmb</t>
  </si>
  <si>
    <t>Zambia</t>
  </si>
  <si>
    <t>zwe</t>
  </si>
  <si>
    <t>Zimbabwe</t>
  </si>
  <si>
    <t>ssd</t>
  </si>
  <si>
    <t>South Sudan</t>
  </si>
  <si>
    <t>region</t>
  </si>
  <si>
    <t>country</t>
  </si>
  <si>
    <t>Macroarea geografica del Paese</t>
  </si>
  <si>
    <t>Qualitativo categorica</t>
  </si>
  <si>
    <t>Africa, America, Asia, Europa</t>
  </si>
  <si>
    <t>Qualitativo sconnesso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</si>
</sst>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indexed="8"/>
      <name val="Arial"/>
    </font>
    <font>
      <b/>
      <sz val="9"/>
      <color indexed="10"/>
      <name val="Arial"/>
    </font>
    <font>
      <b/>
      <sz val="9"/>
      <color indexed="8"/>
      <name val="Arial"/>
    </font>
    <font>
      <sz val="9"/>
      <color indexed="10"/>
      <name val="Arial"/>
    </font>
    <font>
      <sz val="9"/>
      <color indexed="8"/>
      <name val="Arial"/>
    </font>
    <font>
      <sz val="8"/>
      <color indexed="8"/>
      <name val="Arial"/>
    </font>
    <font>
      <sz val="11"/>
      <color indexed="8"/>
      <name val="Calibri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Arial"/>
      <family val="2"/>
    </font>
    <font>
      <b/>
      <sz val="9"/>
      <color indexed="10"/>
      <name val="Arial"/>
      <family val="2"/>
    </font>
    <font>
      <b/>
      <sz val="9"/>
      <color indexed="8"/>
      <name val="Arial"/>
      <family val="2"/>
    </font>
    <font>
      <sz val="9"/>
      <color indexed="10"/>
      <name val="Arial"/>
      <family val="2"/>
    </font>
    <font>
      <sz val="9"/>
      <color indexed="8"/>
      <name val="Arial"/>
      <family val="2"/>
    </font>
    <font>
      <sz val="8"/>
      <color indexed="8"/>
      <name val="Arial"/>
      <family val="2"/>
    </font>
    <font>
      <b/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7" fillId="0" borderId="0" applyFill="0" applyProtection="0"/>
    <xf numFmtId="9" fontId="10" fillId="0" borderId="0" applyFont="0" applyFill="0" applyBorder="0" applyAlignment="0" applyProtection="0"/>
    <xf numFmtId="0" fontId="13" fillId="0" borderId="0" applyFill="0" applyProtection="0"/>
  </cellStyleXfs>
  <cellXfs count="10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1" fontId="3" fillId="0" borderId="2" xfId="0" applyNumberFormat="1" applyFont="1" applyBorder="1" applyAlignment="1">
      <alignment horizontal="right"/>
    </xf>
    <xf numFmtId="0" fontId="4" fillId="0" borderId="2" xfId="0" applyFont="1" applyBorder="1"/>
    <xf numFmtId="1" fontId="5" fillId="0" borderId="2" xfId="0" applyNumberFormat="1" applyFont="1" applyBorder="1" applyAlignment="1">
      <alignment horizontal="right"/>
    </xf>
    <xf numFmtId="0" fontId="4" fillId="0" borderId="3" xfId="0" applyFont="1" applyBorder="1"/>
    <xf numFmtId="1" fontId="5" fillId="0" borderId="3" xfId="0" applyNumberFormat="1" applyFont="1" applyBorder="1" applyAlignment="1">
      <alignment horizontal="right"/>
    </xf>
    <xf numFmtId="0" fontId="6" fillId="0" borderId="0" xfId="0" applyFont="1"/>
    <xf numFmtId="0" fontId="5" fillId="0" borderId="0" xfId="0" applyFont="1" applyAlignment="1">
      <alignment horizontal="left" vertical="center"/>
    </xf>
    <xf numFmtId="0" fontId="5" fillId="0" borderId="0" xfId="0" applyFont="1"/>
    <xf numFmtId="0" fontId="0" fillId="0" borderId="0" xfId="0"/>
    <xf numFmtId="0" fontId="0" fillId="0" borderId="0" xfId="0"/>
    <xf numFmtId="0" fontId="7" fillId="0" borderId="0" xfId="1" applyFill="1" applyProtection="1"/>
    <xf numFmtId="0" fontId="2" fillId="2" borderId="1" xfId="1" applyFont="1" applyFill="1" applyBorder="1" applyAlignment="1" applyProtection="1">
      <alignment horizontal="center" vertical="center" wrapText="1"/>
    </xf>
    <xf numFmtId="0" fontId="2" fillId="0" borderId="2" xfId="1" applyFont="1" applyFill="1" applyBorder="1" applyProtection="1"/>
    <xf numFmtId="1" fontId="3" fillId="0" borderId="2" xfId="1" applyNumberFormat="1" applyFont="1" applyFill="1" applyBorder="1" applyAlignment="1" applyProtection="1">
      <alignment horizontal="right"/>
    </xf>
    <xf numFmtId="0" fontId="4" fillId="0" borderId="2" xfId="1" applyFont="1" applyFill="1" applyBorder="1" applyProtection="1"/>
    <xf numFmtId="1" fontId="5" fillId="0" borderId="2" xfId="1" applyNumberFormat="1" applyFont="1" applyFill="1" applyBorder="1" applyAlignment="1" applyProtection="1">
      <alignment horizontal="right"/>
    </xf>
    <xf numFmtId="0" fontId="5" fillId="0" borderId="0" xfId="1" applyFont="1" applyFill="1" applyProtection="1"/>
    <xf numFmtId="0" fontId="4" fillId="0" borderId="3" xfId="1" applyFont="1" applyFill="1" applyBorder="1" applyProtection="1"/>
    <xf numFmtId="1" fontId="5" fillId="0" borderId="3" xfId="1" applyNumberFormat="1" applyFont="1" applyFill="1" applyBorder="1" applyAlignment="1" applyProtection="1">
      <alignment horizontal="right"/>
    </xf>
    <xf numFmtId="0" fontId="6" fillId="0" borderId="0" xfId="1" applyFont="1" applyFill="1" applyProtection="1"/>
    <xf numFmtId="0" fontId="5" fillId="0" borderId="0" xfId="1" applyFont="1" applyFill="1" applyAlignment="1" applyProtection="1">
      <alignment horizontal="left" vertical="center"/>
    </xf>
    <xf numFmtId="0" fontId="7" fillId="0" borderId="0" xfId="1" applyFill="1" applyProtection="1"/>
    <xf numFmtId="0" fontId="2" fillId="2" borderId="1" xfId="1" applyFont="1" applyFill="1" applyBorder="1" applyAlignment="1" applyProtection="1">
      <alignment horizontal="center" vertical="center" wrapText="1"/>
    </xf>
    <xf numFmtId="0" fontId="2" fillId="0" borderId="2" xfId="1" applyFont="1" applyFill="1" applyBorder="1" applyProtection="1"/>
    <xf numFmtId="1" fontId="3" fillId="0" borderId="2" xfId="1" applyNumberFormat="1" applyFont="1" applyFill="1" applyBorder="1" applyAlignment="1" applyProtection="1">
      <alignment horizontal="right"/>
    </xf>
    <xf numFmtId="0" fontId="4" fillId="0" borderId="2" xfId="1" applyFont="1" applyFill="1" applyBorder="1" applyProtection="1"/>
    <xf numFmtId="1" fontId="5" fillId="0" borderId="2" xfId="1" applyNumberFormat="1" applyFont="1" applyFill="1" applyBorder="1" applyAlignment="1" applyProtection="1">
      <alignment horizontal="right"/>
    </xf>
    <xf numFmtId="0" fontId="5" fillId="0" borderId="0" xfId="1" applyFont="1" applyFill="1" applyProtection="1"/>
    <xf numFmtId="0" fontId="4" fillId="0" borderId="3" xfId="1" applyFont="1" applyFill="1" applyBorder="1" applyProtection="1"/>
    <xf numFmtId="1" fontId="5" fillId="0" borderId="3" xfId="1" applyNumberFormat="1" applyFont="1" applyFill="1" applyBorder="1" applyAlignment="1" applyProtection="1">
      <alignment horizontal="right"/>
    </xf>
    <xf numFmtId="0" fontId="6" fillId="0" borderId="0" xfId="1" applyFont="1" applyFill="1" applyProtection="1"/>
    <xf numFmtId="0" fontId="5" fillId="0" borderId="0" xfId="1" applyFont="1" applyFill="1" applyAlignment="1" applyProtection="1">
      <alignment horizontal="left" vertical="center"/>
    </xf>
    <xf numFmtId="0" fontId="7" fillId="0" borderId="0" xfId="1" applyFill="1" applyProtection="1"/>
    <xf numFmtId="0" fontId="2" fillId="2" borderId="1" xfId="1" applyFont="1" applyFill="1" applyBorder="1" applyAlignment="1" applyProtection="1">
      <alignment horizontal="center" vertical="center" wrapText="1"/>
    </xf>
    <xf numFmtId="0" fontId="2" fillId="0" borderId="2" xfId="1" applyFont="1" applyFill="1" applyBorder="1" applyProtection="1"/>
    <xf numFmtId="1" fontId="3" fillId="0" borderId="2" xfId="1" applyNumberFormat="1" applyFont="1" applyFill="1" applyBorder="1" applyAlignment="1" applyProtection="1">
      <alignment horizontal="right"/>
    </xf>
    <xf numFmtId="0" fontId="4" fillId="0" borderId="2" xfId="1" applyFont="1" applyFill="1" applyBorder="1" applyProtection="1"/>
    <xf numFmtId="1" fontId="5" fillId="0" borderId="2" xfId="1" applyNumberFormat="1" applyFont="1" applyFill="1" applyBorder="1" applyAlignment="1" applyProtection="1">
      <alignment horizontal="right"/>
    </xf>
    <xf numFmtId="0" fontId="5" fillId="0" borderId="0" xfId="1" applyFont="1" applyFill="1" applyProtection="1"/>
    <xf numFmtId="0" fontId="4" fillId="0" borderId="3" xfId="1" applyFont="1" applyFill="1" applyBorder="1" applyProtection="1"/>
    <xf numFmtId="1" fontId="5" fillId="0" borderId="3" xfId="1" applyNumberFormat="1" applyFont="1" applyFill="1" applyBorder="1" applyAlignment="1" applyProtection="1">
      <alignment horizontal="right"/>
    </xf>
    <xf numFmtId="0" fontId="6" fillId="0" borderId="0" xfId="1" applyFont="1" applyFill="1" applyProtection="1"/>
    <xf numFmtId="0" fontId="5" fillId="0" borderId="0" xfId="1" applyFont="1" applyFill="1" applyAlignment="1" applyProtection="1">
      <alignment horizontal="left" vertical="center"/>
    </xf>
    <xf numFmtId="0" fontId="7" fillId="0" borderId="0" xfId="1" applyFill="1" applyProtection="1"/>
    <xf numFmtId="0" fontId="2" fillId="2" borderId="1" xfId="1" applyFont="1" applyFill="1" applyBorder="1" applyAlignment="1" applyProtection="1">
      <alignment horizontal="center" vertical="center" wrapText="1"/>
    </xf>
    <xf numFmtId="0" fontId="2" fillId="0" borderId="2" xfId="1" applyFont="1" applyFill="1" applyBorder="1" applyProtection="1"/>
    <xf numFmtId="2" fontId="3" fillId="0" borderId="2" xfId="1" applyNumberFormat="1" applyFont="1" applyFill="1" applyBorder="1" applyAlignment="1" applyProtection="1">
      <alignment horizontal="right"/>
    </xf>
    <xf numFmtId="0" fontId="4" fillId="0" borderId="2" xfId="1" applyFont="1" applyFill="1" applyBorder="1" applyProtection="1"/>
    <xf numFmtId="2" fontId="5" fillId="0" borderId="2" xfId="1" applyNumberFormat="1" applyFont="1" applyFill="1" applyBorder="1" applyAlignment="1" applyProtection="1">
      <alignment horizontal="right"/>
    </xf>
    <xf numFmtId="0" fontId="5" fillId="0" borderId="0" xfId="1" applyFont="1" applyFill="1" applyProtection="1"/>
    <xf numFmtId="0" fontId="4" fillId="0" borderId="3" xfId="1" applyFont="1" applyFill="1" applyBorder="1" applyProtection="1"/>
    <xf numFmtId="2" fontId="5" fillId="0" borderId="3" xfId="1" applyNumberFormat="1" applyFont="1" applyFill="1" applyBorder="1" applyAlignment="1" applyProtection="1">
      <alignment horizontal="right"/>
    </xf>
    <xf numFmtId="0" fontId="6" fillId="0" borderId="0" xfId="1" applyFont="1" applyFill="1" applyProtection="1"/>
    <xf numFmtId="0" fontId="5" fillId="0" borderId="0" xfId="1" applyFont="1" applyFill="1" applyAlignment="1" applyProtection="1">
      <alignment horizontal="left" vertical="center"/>
    </xf>
    <xf numFmtId="0" fontId="7" fillId="0" borderId="0" xfId="1" applyFill="1" applyProtection="1"/>
    <xf numFmtId="0" fontId="2" fillId="2" borderId="1" xfId="1" applyFont="1" applyFill="1" applyBorder="1" applyAlignment="1" applyProtection="1">
      <alignment horizontal="center" vertical="center" wrapText="1"/>
    </xf>
    <xf numFmtId="0" fontId="2" fillId="0" borderId="2" xfId="1" applyFont="1" applyFill="1" applyBorder="1" applyProtection="1"/>
    <xf numFmtId="2" fontId="3" fillId="0" borderId="2" xfId="1" applyNumberFormat="1" applyFont="1" applyFill="1" applyBorder="1" applyAlignment="1" applyProtection="1">
      <alignment horizontal="right"/>
    </xf>
    <xf numFmtId="0" fontId="4" fillId="0" borderId="2" xfId="1" applyFont="1" applyFill="1" applyBorder="1" applyProtection="1"/>
    <xf numFmtId="2" fontId="5" fillId="0" borderId="2" xfId="1" applyNumberFormat="1" applyFont="1" applyFill="1" applyBorder="1" applyAlignment="1" applyProtection="1">
      <alignment horizontal="right"/>
    </xf>
    <xf numFmtId="0" fontId="5" fillId="0" borderId="0" xfId="1" applyFont="1" applyFill="1" applyProtection="1"/>
    <xf numFmtId="0" fontId="4" fillId="0" borderId="3" xfId="1" applyFont="1" applyFill="1" applyBorder="1" applyProtection="1"/>
    <xf numFmtId="2" fontId="5" fillId="0" borderId="3" xfId="1" applyNumberFormat="1" applyFont="1" applyFill="1" applyBorder="1" applyAlignment="1" applyProtection="1">
      <alignment horizontal="right"/>
    </xf>
    <xf numFmtId="0" fontId="6" fillId="0" borderId="0" xfId="1" applyFont="1" applyFill="1" applyProtection="1"/>
    <xf numFmtId="0" fontId="5" fillId="0" borderId="0" xfId="1" applyFont="1" applyFill="1" applyAlignment="1" applyProtection="1">
      <alignment horizontal="left" vertical="center"/>
    </xf>
    <xf numFmtId="2" fontId="0" fillId="0" borderId="4" xfId="0" applyNumberFormat="1" applyBorder="1"/>
    <xf numFmtId="0" fontId="11" fillId="0" borderId="0" xfId="0" applyFont="1"/>
    <xf numFmtId="10" fontId="0" fillId="0" borderId="4" xfId="2" applyNumberFormat="1" applyFont="1" applyBorder="1"/>
    <xf numFmtId="0" fontId="10" fillId="6" borderId="4" xfId="1" applyFont="1" applyFill="1" applyBorder="1" applyProtection="1"/>
    <xf numFmtId="0" fontId="12" fillId="4" borderId="4" xfId="0" applyFont="1" applyFill="1" applyBorder="1"/>
    <xf numFmtId="0" fontId="13" fillId="0" borderId="0" xfId="3" applyFill="1" applyProtection="1"/>
    <xf numFmtId="0" fontId="15" fillId="2" borderId="1" xfId="3" applyFont="1" applyFill="1" applyBorder="1" applyAlignment="1" applyProtection="1">
      <alignment horizontal="center" vertical="center" wrapText="1"/>
    </xf>
    <xf numFmtId="0" fontId="15" fillId="0" borderId="2" xfId="3" applyFont="1" applyFill="1" applyBorder="1" applyProtection="1"/>
    <xf numFmtId="1" fontId="16" fillId="0" borderId="2" xfId="3" applyNumberFormat="1" applyFont="1" applyFill="1" applyBorder="1" applyAlignment="1" applyProtection="1">
      <alignment horizontal="right"/>
    </xf>
    <xf numFmtId="0" fontId="17" fillId="0" borderId="2" xfId="3" applyFont="1" applyFill="1" applyBorder="1" applyProtection="1"/>
    <xf numFmtId="1" fontId="18" fillId="0" borderId="2" xfId="3" applyNumberFormat="1" applyFont="1" applyFill="1" applyBorder="1" applyAlignment="1" applyProtection="1">
      <alignment horizontal="right"/>
    </xf>
    <xf numFmtId="0" fontId="18" fillId="0" borderId="0" xfId="3" applyFont="1" applyFill="1" applyProtection="1"/>
    <xf numFmtId="0" fontId="17" fillId="0" borderId="3" xfId="3" applyFont="1" applyFill="1" applyBorder="1" applyProtection="1"/>
    <xf numFmtId="1" fontId="18" fillId="0" borderId="3" xfId="3" applyNumberFormat="1" applyFont="1" applyFill="1" applyBorder="1" applyAlignment="1" applyProtection="1">
      <alignment horizontal="right"/>
    </xf>
    <xf numFmtId="0" fontId="19" fillId="0" borderId="0" xfId="3" applyFont="1" applyFill="1" applyProtection="1"/>
    <xf numFmtId="0" fontId="18" fillId="0" borderId="0" xfId="3" applyFont="1" applyFill="1" applyAlignment="1" applyProtection="1">
      <alignment horizontal="left" vertical="center"/>
    </xf>
    <xf numFmtId="0" fontId="2" fillId="2" borderId="6" xfId="1" applyFont="1" applyFill="1" applyBorder="1" applyAlignment="1" applyProtection="1">
      <alignment horizontal="center" vertical="center" wrapText="1"/>
    </xf>
    <xf numFmtId="0" fontId="2" fillId="0" borderId="5" xfId="1" applyFont="1" applyFill="1" applyBorder="1" applyProtection="1"/>
    <xf numFmtId="0" fontId="4" fillId="0" borderId="5" xfId="1" applyFont="1" applyFill="1" applyBorder="1" applyProtection="1"/>
    <xf numFmtId="0" fontId="4" fillId="0" borderId="7" xfId="1" applyFont="1" applyFill="1" applyBorder="1" applyProtection="1"/>
    <xf numFmtId="0" fontId="0" fillId="0" borderId="5" xfId="0" applyBorder="1"/>
    <xf numFmtId="0" fontId="0" fillId="0" borderId="7" xfId="0" applyBorder="1"/>
    <xf numFmtId="0" fontId="8" fillId="3" borderId="4" xfId="0" applyFont="1" applyFill="1" applyBorder="1" applyAlignment="1">
      <alignment horizontal="left" vertical="center"/>
    </xf>
    <xf numFmtId="0" fontId="8" fillId="3" borderId="5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0" fillId="5" borderId="4" xfId="0" applyFont="1" applyFill="1" applyBorder="1" applyAlignment="1">
      <alignment horizontal="left" vertical="center"/>
    </xf>
    <xf numFmtId="0" fontId="0" fillId="0" borderId="0" xfId="0" applyFont="1"/>
    <xf numFmtId="0" fontId="9" fillId="0" borderId="0" xfId="0" applyFont="1" applyFill="1" applyBorder="1" applyAlignment="1">
      <alignment horizontal="left" vertical="center"/>
    </xf>
    <xf numFmtId="14" fontId="0" fillId="0" borderId="0" xfId="0" applyNumberFormat="1"/>
    <xf numFmtId="0" fontId="0" fillId="7" borderId="4" xfId="0" applyFont="1" applyFill="1" applyBorder="1"/>
    <xf numFmtId="0" fontId="20" fillId="3" borderId="4" xfId="0" applyFont="1" applyFill="1" applyBorder="1" applyAlignment="1">
      <alignment horizontal="left" vertical="center"/>
    </xf>
    <xf numFmtId="0" fontId="1" fillId="0" borderId="0" xfId="0" applyFont="1"/>
    <xf numFmtId="0" fontId="0" fillId="0" borderId="0" xfId="0"/>
    <xf numFmtId="0" fontId="1" fillId="0" borderId="0" xfId="1" applyFont="1" applyFill="1" applyProtection="1"/>
    <xf numFmtId="0" fontId="7" fillId="0" borderId="0" xfId="1" applyFill="1" applyProtection="1"/>
    <xf numFmtId="0" fontId="14" fillId="0" borderId="0" xfId="3" applyFont="1" applyFill="1" applyProtection="1"/>
    <xf numFmtId="0" fontId="13" fillId="0" borderId="0" xfId="3" applyFill="1" applyProtection="1"/>
  </cellXfs>
  <cellStyles count="4">
    <cellStyle name="Normale" xfId="0" builtinId="0"/>
    <cellStyle name="Normale 2" xfId="1" xr:uid="{D26732DA-C0C8-4EBB-B97A-F47EB6BD2652}"/>
    <cellStyle name="Normale 3" xfId="3" xr:uid="{2D446F57-4748-410D-99A9-FE9D51E0B9E8}"/>
    <cellStyle name="Percentual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46DFB-A86C-4946-BC02-756FDA66A34C}">
  <dimension ref="A1:L198"/>
  <sheetViews>
    <sheetView zoomScale="90" zoomScaleNormal="90" workbookViewId="0">
      <selection activeCell="L22" sqref="L22"/>
    </sheetView>
  </sheetViews>
  <sheetFormatPr defaultRowHeight="14.4" x14ac:dyDescent="0.3"/>
  <cols>
    <col min="1" max="1" width="4.77734375" bestFit="1" customWidth="1"/>
    <col min="2" max="2" width="26.21875" bestFit="1" customWidth="1"/>
    <col min="3" max="3" width="12" bestFit="1" customWidth="1"/>
    <col min="4" max="4" width="23.33203125" bestFit="1" customWidth="1"/>
    <col min="5" max="5" width="17.77734375" bestFit="1" customWidth="1"/>
    <col min="7" max="7" width="9.6640625" bestFit="1" customWidth="1"/>
    <col min="8" max="8" width="10.6640625" bestFit="1" customWidth="1"/>
    <col min="9" max="9" width="15.5546875" bestFit="1" customWidth="1"/>
    <col min="10" max="10" width="23" bestFit="1" customWidth="1"/>
    <col min="11" max="12" width="29.5546875" bestFit="1" customWidth="1"/>
  </cols>
  <sheetData>
    <row r="1" spans="1:12" x14ac:dyDescent="0.3">
      <c r="A1" t="s">
        <v>94</v>
      </c>
      <c r="B1" t="s">
        <v>95</v>
      </c>
      <c r="C1" t="s">
        <v>96</v>
      </c>
      <c r="D1" t="s">
        <v>98</v>
      </c>
      <c r="E1" t="s">
        <v>97</v>
      </c>
      <c r="F1" t="s">
        <v>99</v>
      </c>
      <c r="G1" t="s">
        <v>100</v>
      </c>
      <c r="H1" t="s">
        <v>101</v>
      </c>
      <c r="I1" t="s">
        <v>102</v>
      </c>
      <c r="J1" t="s">
        <v>103</v>
      </c>
      <c r="K1" t="s">
        <v>104</v>
      </c>
      <c r="L1" t="s">
        <v>105</v>
      </c>
    </row>
    <row r="2" spans="1:12" x14ac:dyDescent="0.3">
      <c r="A2" t="s">
        <v>106</v>
      </c>
      <c r="B2" t="s">
        <v>107</v>
      </c>
      <c r="C2" t="s">
        <v>108</v>
      </c>
      <c r="D2" t="s">
        <v>110</v>
      </c>
      <c r="E2" t="s">
        <v>109</v>
      </c>
      <c r="F2" t="s">
        <v>111</v>
      </c>
      <c r="G2">
        <v>33</v>
      </c>
      <c r="H2">
        <v>66</v>
      </c>
      <c r="I2" s="97">
        <v>17125</v>
      </c>
      <c r="J2" t="s">
        <v>112</v>
      </c>
      <c r="K2" t="s">
        <v>113</v>
      </c>
    </row>
    <row r="3" spans="1:12" x14ac:dyDescent="0.3">
      <c r="A3" t="s">
        <v>114</v>
      </c>
      <c r="B3" t="s">
        <v>115</v>
      </c>
      <c r="C3" t="s">
        <v>116</v>
      </c>
      <c r="D3" t="s">
        <v>118</v>
      </c>
      <c r="E3" t="s">
        <v>117</v>
      </c>
      <c r="F3" t="s">
        <v>119</v>
      </c>
      <c r="G3">
        <v>41</v>
      </c>
      <c r="H3">
        <v>20</v>
      </c>
      <c r="I3" s="97">
        <v>20437</v>
      </c>
      <c r="J3" t="s">
        <v>120</v>
      </c>
      <c r="K3" t="s">
        <v>121</v>
      </c>
    </row>
    <row r="4" spans="1:12" x14ac:dyDescent="0.3">
      <c r="A4" t="s">
        <v>122</v>
      </c>
      <c r="B4" t="s">
        <v>50</v>
      </c>
      <c r="C4" t="s">
        <v>123</v>
      </c>
      <c r="D4" t="s">
        <v>125</v>
      </c>
      <c r="E4" t="s">
        <v>124</v>
      </c>
      <c r="F4" t="s">
        <v>111</v>
      </c>
      <c r="G4">
        <v>28</v>
      </c>
      <c r="H4">
        <v>3</v>
      </c>
      <c r="I4" s="97">
        <v>22927</v>
      </c>
      <c r="J4" t="s">
        <v>126</v>
      </c>
      <c r="K4" t="s">
        <v>121</v>
      </c>
    </row>
    <row r="5" spans="1:12" x14ac:dyDescent="0.3">
      <c r="A5" t="s">
        <v>127</v>
      </c>
      <c r="B5" t="s">
        <v>128</v>
      </c>
      <c r="C5" t="s">
        <v>116</v>
      </c>
      <c r="D5" t="s">
        <v>118</v>
      </c>
      <c r="E5" t="s">
        <v>129</v>
      </c>
      <c r="F5" t="s">
        <v>119</v>
      </c>
      <c r="G5">
        <v>42.50779</v>
      </c>
      <c r="H5">
        <v>1.5210900000000001</v>
      </c>
      <c r="I5" s="97">
        <v>34178</v>
      </c>
      <c r="J5" t="s">
        <v>120</v>
      </c>
      <c r="K5" t="s">
        <v>130</v>
      </c>
    </row>
    <row r="6" spans="1:12" x14ac:dyDescent="0.3">
      <c r="A6" t="s">
        <v>131</v>
      </c>
      <c r="B6" t="s">
        <v>132</v>
      </c>
      <c r="C6" t="s">
        <v>123</v>
      </c>
      <c r="D6" t="s">
        <v>134</v>
      </c>
      <c r="E6" t="s">
        <v>133</v>
      </c>
      <c r="F6" t="s">
        <v>111</v>
      </c>
      <c r="G6">
        <v>-12.5</v>
      </c>
      <c r="H6">
        <v>18.5</v>
      </c>
      <c r="I6" s="97">
        <v>28095</v>
      </c>
      <c r="J6" t="s">
        <v>135</v>
      </c>
      <c r="K6" t="s">
        <v>136</v>
      </c>
    </row>
    <row r="7" spans="1:12" x14ac:dyDescent="0.3">
      <c r="A7" t="s">
        <v>137</v>
      </c>
      <c r="B7" t="s">
        <v>138</v>
      </c>
      <c r="C7" t="s">
        <v>139</v>
      </c>
      <c r="D7" t="s">
        <v>141</v>
      </c>
      <c r="E7" t="s">
        <v>140</v>
      </c>
      <c r="F7" t="s">
        <v>111</v>
      </c>
      <c r="G7">
        <v>17.05</v>
      </c>
      <c r="H7">
        <v>-61.8</v>
      </c>
      <c r="I7" s="97">
        <v>29901</v>
      </c>
      <c r="J7" t="s">
        <v>142</v>
      </c>
      <c r="K7" t="s">
        <v>130</v>
      </c>
    </row>
    <row r="8" spans="1:12" x14ac:dyDescent="0.3">
      <c r="A8" t="s">
        <v>143</v>
      </c>
      <c r="B8" t="s">
        <v>31</v>
      </c>
      <c r="C8" t="s">
        <v>139</v>
      </c>
      <c r="D8" t="s">
        <v>141</v>
      </c>
      <c r="E8" t="s">
        <v>144</v>
      </c>
      <c r="F8" t="s">
        <v>111</v>
      </c>
      <c r="G8">
        <v>-34</v>
      </c>
      <c r="H8">
        <v>-64</v>
      </c>
      <c r="I8" s="97">
        <v>16734</v>
      </c>
      <c r="J8" t="s">
        <v>142</v>
      </c>
      <c r="K8" t="s">
        <v>121</v>
      </c>
    </row>
    <row r="9" spans="1:12" x14ac:dyDescent="0.3">
      <c r="A9" t="s">
        <v>145</v>
      </c>
      <c r="B9" t="s">
        <v>146</v>
      </c>
      <c r="C9" t="s">
        <v>116</v>
      </c>
      <c r="D9" t="s">
        <v>118</v>
      </c>
      <c r="E9" t="s">
        <v>117</v>
      </c>
      <c r="F9" t="s">
        <v>119</v>
      </c>
      <c r="G9">
        <v>40.25</v>
      </c>
      <c r="H9">
        <v>45</v>
      </c>
      <c r="I9" s="97">
        <v>33665</v>
      </c>
      <c r="J9" t="s">
        <v>120</v>
      </c>
      <c r="K9" t="s">
        <v>136</v>
      </c>
    </row>
    <row r="10" spans="1:12" x14ac:dyDescent="0.3">
      <c r="A10" t="s">
        <v>147</v>
      </c>
      <c r="B10" t="s">
        <v>47</v>
      </c>
      <c r="C10" t="s">
        <v>108</v>
      </c>
      <c r="D10" t="s">
        <v>148</v>
      </c>
      <c r="E10" t="s">
        <v>148</v>
      </c>
      <c r="F10" t="s">
        <v>149</v>
      </c>
      <c r="G10">
        <v>-25</v>
      </c>
      <c r="H10">
        <v>135</v>
      </c>
      <c r="I10" s="97">
        <v>16742</v>
      </c>
      <c r="J10" t="s">
        <v>150</v>
      </c>
      <c r="K10" t="s">
        <v>130</v>
      </c>
    </row>
    <row r="11" spans="1:12" x14ac:dyDescent="0.3">
      <c r="A11" t="s">
        <v>151</v>
      </c>
      <c r="B11" t="s">
        <v>152</v>
      </c>
      <c r="C11" t="s">
        <v>116</v>
      </c>
      <c r="D11" t="s">
        <v>118</v>
      </c>
      <c r="E11" t="s">
        <v>129</v>
      </c>
      <c r="F11" t="s">
        <v>149</v>
      </c>
      <c r="G11">
        <v>47.333329999999997</v>
      </c>
      <c r="H11">
        <v>13.33333</v>
      </c>
      <c r="I11" s="97">
        <v>20437</v>
      </c>
      <c r="J11" t="s">
        <v>120</v>
      </c>
      <c r="K11" t="s">
        <v>130</v>
      </c>
    </row>
    <row r="12" spans="1:12" x14ac:dyDescent="0.3">
      <c r="A12" t="s">
        <v>153</v>
      </c>
      <c r="B12" t="s">
        <v>154</v>
      </c>
      <c r="C12" t="s">
        <v>116</v>
      </c>
      <c r="D12" t="s">
        <v>118</v>
      </c>
      <c r="E12" t="s">
        <v>117</v>
      </c>
      <c r="F12" t="s">
        <v>119</v>
      </c>
      <c r="G12">
        <v>40.5</v>
      </c>
      <c r="H12">
        <v>47.5</v>
      </c>
      <c r="I12" s="97">
        <v>33665</v>
      </c>
      <c r="J12" t="s">
        <v>120</v>
      </c>
      <c r="K12" t="s">
        <v>121</v>
      </c>
    </row>
    <row r="13" spans="1:12" x14ac:dyDescent="0.3">
      <c r="A13" t="s">
        <v>155</v>
      </c>
      <c r="B13" t="s">
        <v>156</v>
      </c>
      <c r="C13" t="s">
        <v>139</v>
      </c>
      <c r="D13" t="s">
        <v>141</v>
      </c>
      <c r="E13" t="s">
        <v>140</v>
      </c>
      <c r="F13" t="s">
        <v>111</v>
      </c>
      <c r="G13">
        <v>25.04082</v>
      </c>
      <c r="H13">
        <v>-77.371219999999994</v>
      </c>
      <c r="I13" s="97">
        <v>26894</v>
      </c>
      <c r="J13" t="s">
        <v>142</v>
      </c>
      <c r="K13" t="s">
        <v>130</v>
      </c>
    </row>
    <row r="14" spans="1:12" x14ac:dyDescent="0.3">
      <c r="A14" t="s">
        <v>157</v>
      </c>
      <c r="B14" t="s">
        <v>158</v>
      </c>
      <c r="C14" t="s">
        <v>108</v>
      </c>
      <c r="D14" t="s">
        <v>125</v>
      </c>
      <c r="E14" t="s">
        <v>109</v>
      </c>
      <c r="F14" t="s">
        <v>111</v>
      </c>
      <c r="G14">
        <v>26.033329999999999</v>
      </c>
      <c r="H14">
        <v>50.55</v>
      </c>
      <c r="I14" s="97">
        <v>26197</v>
      </c>
      <c r="J14" t="s">
        <v>126</v>
      </c>
      <c r="K14" t="s">
        <v>130</v>
      </c>
    </row>
    <row r="15" spans="1:12" x14ac:dyDescent="0.3">
      <c r="A15" t="s">
        <v>159</v>
      </c>
      <c r="B15" t="s">
        <v>160</v>
      </c>
      <c r="C15" t="s">
        <v>108</v>
      </c>
      <c r="D15" t="s">
        <v>110</v>
      </c>
      <c r="E15" t="s">
        <v>109</v>
      </c>
      <c r="F15" t="s">
        <v>111</v>
      </c>
      <c r="G15">
        <v>24</v>
      </c>
      <c r="H15">
        <v>90</v>
      </c>
      <c r="I15" s="97">
        <v>27289</v>
      </c>
      <c r="J15" t="s">
        <v>112</v>
      </c>
      <c r="K15" t="s">
        <v>136</v>
      </c>
    </row>
    <row r="16" spans="1:12" x14ac:dyDescent="0.3">
      <c r="A16" t="s">
        <v>161</v>
      </c>
      <c r="B16" t="s">
        <v>162</v>
      </c>
      <c r="C16" t="s">
        <v>139</v>
      </c>
      <c r="D16" t="s">
        <v>141</v>
      </c>
      <c r="E16" t="s">
        <v>140</v>
      </c>
      <c r="F16" t="s">
        <v>111</v>
      </c>
      <c r="G16">
        <v>13.16667</v>
      </c>
      <c r="H16">
        <v>-59.533329999999999</v>
      </c>
      <c r="I16" s="97">
        <v>24450</v>
      </c>
      <c r="J16" t="s">
        <v>142</v>
      </c>
      <c r="K16" t="s">
        <v>130</v>
      </c>
    </row>
    <row r="17" spans="1:12" x14ac:dyDescent="0.3">
      <c r="A17" t="s">
        <v>163</v>
      </c>
      <c r="B17" t="s">
        <v>164</v>
      </c>
      <c r="C17" t="s">
        <v>116</v>
      </c>
      <c r="D17" t="s">
        <v>118</v>
      </c>
      <c r="E17" t="s">
        <v>117</v>
      </c>
      <c r="F17" t="s">
        <v>119</v>
      </c>
      <c r="G17">
        <v>53</v>
      </c>
      <c r="H17">
        <v>28</v>
      </c>
      <c r="I17" s="97">
        <v>16734</v>
      </c>
      <c r="J17" t="s">
        <v>120</v>
      </c>
      <c r="K17" t="s">
        <v>121</v>
      </c>
    </row>
    <row r="18" spans="1:12" x14ac:dyDescent="0.3">
      <c r="A18" t="s">
        <v>165</v>
      </c>
      <c r="B18" t="s">
        <v>7</v>
      </c>
      <c r="C18" t="s">
        <v>116</v>
      </c>
      <c r="D18" t="s">
        <v>118</v>
      </c>
      <c r="E18" t="s">
        <v>129</v>
      </c>
      <c r="F18" t="s">
        <v>149</v>
      </c>
      <c r="G18">
        <v>50.75</v>
      </c>
      <c r="H18">
        <v>4.5</v>
      </c>
      <c r="I18" s="97">
        <v>16798</v>
      </c>
      <c r="J18" t="s">
        <v>120</v>
      </c>
      <c r="K18" t="s">
        <v>130</v>
      </c>
    </row>
    <row r="19" spans="1:12" x14ac:dyDescent="0.3">
      <c r="A19" t="s">
        <v>166</v>
      </c>
      <c r="B19" t="s">
        <v>167</v>
      </c>
      <c r="C19" t="s">
        <v>139</v>
      </c>
      <c r="D19" t="s">
        <v>141</v>
      </c>
      <c r="E19" t="s">
        <v>140</v>
      </c>
      <c r="F19" t="s">
        <v>111</v>
      </c>
      <c r="G19">
        <v>17.49952</v>
      </c>
      <c r="H19">
        <v>-88.197559999999996</v>
      </c>
      <c r="I19" s="97">
        <v>29854</v>
      </c>
      <c r="J19" t="s">
        <v>142</v>
      </c>
      <c r="K19" t="s">
        <v>121</v>
      </c>
    </row>
    <row r="20" spans="1:12" x14ac:dyDescent="0.3">
      <c r="A20" t="s">
        <v>168</v>
      </c>
      <c r="B20" t="s">
        <v>169</v>
      </c>
      <c r="C20" t="s">
        <v>123</v>
      </c>
      <c r="D20" t="s">
        <v>134</v>
      </c>
      <c r="E20" t="s">
        <v>133</v>
      </c>
      <c r="F20" t="s">
        <v>111</v>
      </c>
      <c r="G20">
        <v>9.5</v>
      </c>
      <c r="H20">
        <v>2.25</v>
      </c>
      <c r="I20" s="97">
        <v>22179</v>
      </c>
      <c r="J20" t="s">
        <v>135</v>
      </c>
      <c r="K20" t="s">
        <v>113</v>
      </c>
    </row>
    <row r="21" spans="1:12" x14ac:dyDescent="0.3">
      <c r="A21" t="s">
        <v>170</v>
      </c>
      <c r="B21" t="s">
        <v>171</v>
      </c>
      <c r="C21" t="s">
        <v>108</v>
      </c>
      <c r="D21" t="s">
        <v>110</v>
      </c>
      <c r="E21" t="s">
        <v>109</v>
      </c>
      <c r="F21" t="s">
        <v>111</v>
      </c>
      <c r="G21">
        <v>27.5</v>
      </c>
      <c r="H21">
        <v>90.5</v>
      </c>
      <c r="I21" s="97">
        <v>26197</v>
      </c>
      <c r="J21" t="s">
        <v>112</v>
      </c>
      <c r="K21" t="s">
        <v>136</v>
      </c>
    </row>
    <row r="22" spans="1:12" x14ac:dyDescent="0.3">
      <c r="A22" t="s">
        <v>172</v>
      </c>
      <c r="B22" t="s">
        <v>173</v>
      </c>
      <c r="C22" t="s">
        <v>139</v>
      </c>
      <c r="D22" t="s">
        <v>141</v>
      </c>
      <c r="E22" t="s">
        <v>144</v>
      </c>
      <c r="F22" t="s">
        <v>111</v>
      </c>
      <c r="G22">
        <v>-17</v>
      </c>
      <c r="H22">
        <v>-65</v>
      </c>
      <c r="I22" s="97">
        <v>16755</v>
      </c>
      <c r="J22" t="s">
        <v>142</v>
      </c>
      <c r="K22" t="s">
        <v>136</v>
      </c>
      <c r="L22" s="69"/>
    </row>
    <row r="23" spans="1:12" x14ac:dyDescent="0.3">
      <c r="A23" t="s">
        <v>174</v>
      </c>
      <c r="B23" t="s">
        <v>175</v>
      </c>
      <c r="C23" t="s">
        <v>116</v>
      </c>
      <c r="D23" t="s">
        <v>118</v>
      </c>
      <c r="E23" t="s">
        <v>117</v>
      </c>
      <c r="F23" t="s">
        <v>111</v>
      </c>
      <c r="G23">
        <v>44.25</v>
      </c>
      <c r="H23">
        <v>17.83333</v>
      </c>
      <c r="I23" s="97">
        <v>33746</v>
      </c>
      <c r="J23" t="s">
        <v>120</v>
      </c>
      <c r="K23" t="s">
        <v>121</v>
      </c>
    </row>
    <row r="24" spans="1:12" x14ac:dyDescent="0.3">
      <c r="A24" t="s">
        <v>176</v>
      </c>
      <c r="B24" t="s">
        <v>177</v>
      </c>
      <c r="C24" t="s">
        <v>123</v>
      </c>
      <c r="D24" t="s">
        <v>134</v>
      </c>
      <c r="E24" t="s">
        <v>133</v>
      </c>
      <c r="F24" t="s">
        <v>111</v>
      </c>
      <c r="G24">
        <v>-22</v>
      </c>
      <c r="H24">
        <v>24</v>
      </c>
      <c r="I24" s="97">
        <v>24397</v>
      </c>
      <c r="J24" t="s">
        <v>135</v>
      </c>
      <c r="K24" t="s">
        <v>121</v>
      </c>
    </row>
    <row r="25" spans="1:12" x14ac:dyDescent="0.3">
      <c r="A25" t="s">
        <v>178</v>
      </c>
      <c r="B25" t="s">
        <v>32</v>
      </c>
      <c r="C25" t="s">
        <v>139</v>
      </c>
      <c r="D25" t="s">
        <v>141</v>
      </c>
      <c r="E25" t="s">
        <v>144</v>
      </c>
      <c r="F25" t="s">
        <v>111</v>
      </c>
      <c r="G25">
        <v>-10</v>
      </c>
      <c r="H25">
        <v>-55</v>
      </c>
      <c r="I25" s="97">
        <v>16734</v>
      </c>
      <c r="J25" t="s">
        <v>142</v>
      </c>
      <c r="K25" t="s">
        <v>121</v>
      </c>
    </row>
    <row r="26" spans="1:12" x14ac:dyDescent="0.3">
      <c r="A26" t="s">
        <v>179</v>
      </c>
      <c r="B26" t="s">
        <v>180</v>
      </c>
      <c r="C26" t="s">
        <v>108</v>
      </c>
      <c r="D26" t="s">
        <v>148</v>
      </c>
      <c r="E26" t="s">
        <v>148</v>
      </c>
      <c r="F26" t="s">
        <v>111</v>
      </c>
      <c r="G26">
        <v>4.5</v>
      </c>
      <c r="H26">
        <v>114.66667</v>
      </c>
      <c r="I26" s="97">
        <v>30946</v>
      </c>
      <c r="J26" t="s">
        <v>150</v>
      </c>
      <c r="K26" t="s">
        <v>130</v>
      </c>
    </row>
    <row r="27" spans="1:12" x14ac:dyDescent="0.3">
      <c r="A27" t="s">
        <v>181</v>
      </c>
      <c r="B27" t="s">
        <v>182</v>
      </c>
      <c r="C27" t="s">
        <v>116</v>
      </c>
      <c r="D27" t="s">
        <v>118</v>
      </c>
      <c r="E27" t="s">
        <v>117</v>
      </c>
      <c r="F27" t="s">
        <v>119</v>
      </c>
      <c r="G27">
        <v>42.666670000000003</v>
      </c>
      <c r="H27">
        <v>25.25</v>
      </c>
      <c r="I27" s="97">
        <v>20437</v>
      </c>
      <c r="J27" t="s">
        <v>120</v>
      </c>
      <c r="K27" t="s">
        <v>121</v>
      </c>
    </row>
    <row r="28" spans="1:12" x14ac:dyDescent="0.3">
      <c r="A28" t="s">
        <v>183</v>
      </c>
      <c r="B28" t="s">
        <v>184</v>
      </c>
      <c r="C28" t="s">
        <v>123</v>
      </c>
      <c r="D28" t="s">
        <v>134</v>
      </c>
      <c r="E28" t="s">
        <v>133</v>
      </c>
      <c r="F28" t="s">
        <v>111</v>
      </c>
      <c r="G28">
        <v>12.5</v>
      </c>
      <c r="H28">
        <v>-1.6666700000000001</v>
      </c>
      <c r="I28" s="97">
        <v>22179</v>
      </c>
      <c r="J28" t="s">
        <v>135</v>
      </c>
      <c r="K28" t="s">
        <v>113</v>
      </c>
    </row>
    <row r="29" spans="1:12" x14ac:dyDescent="0.3">
      <c r="A29" t="s">
        <v>185</v>
      </c>
      <c r="B29" t="s">
        <v>186</v>
      </c>
      <c r="C29" t="s">
        <v>123</v>
      </c>
      <c r="D29" t="s">
        <v>134</v>
      </c>
      <c r="E29" t="s">
        <v>133</v>
      </c>
      <c r="F29" t="s">
        <v>111</v>
      </c>
      <c r="G29">
        <v>-3.5</v>
      </c>
      <c r="H29">
        <v>30</v>
      </c>
      <c r="I29" s="97">
        <v>22907</v>
      </c>
      <c r="J29" t="s">
        <v>135</v>
      </c>
      <c r="K29" t="s">
        <v>113</v>
      </c>
    </row>
    <row r="30" spans="1:12" x14ac:dyDescent="0.3">
      <c r="A30" t="s">
        <v>187</v>
      </c>
      <c r="B30" t="s">
        <v>188</v>
      </c>
      <c r="C30" t="s">
        <v>108</v>
      </c>
      <c r="D30" t="s">
        <v>148</v>
      </c>
      <c r="E30" t="s">
        <v>148</v>
      </c>
      <c r="F30" t="s">
        <v>111</v>
      </c>
      <c r="G30">
        <v>13</v>
      </c>
      <c r="H30">
        <v>105</v>
      </c>
      <c r="I30" s="97">
        <v>20437</v>
      </c>
      <c r="J30" t="s">
        <v>150</v>
      </c>
      <c r="K30" t="s">
        <v>136</v>
      </c>
    </row>
    <row r="31" spans="1:12" x14ac:dyDescent="0.3">
      <c r="A31" t="s">
        <v>189</v>
      </c>
      <c r="B31" t="s">
        <v>190</v>
      </c>
      <c r="C31" t="s">
        <v>123</v>
      </c>
      <c r="D31" t="s">
        <v>134</v>
      </c>
      <c r="E31" t="s">
        <v>133</v>
      </c>
      <c r="F31" t="s">
        <v>111</v>
      </c>
      <c r="G31">
        <v>6</v>
      </c>
      <c r="H31">
        <v>12.5</v>
      </c>
      <c r="I31" s="97">
        <v>22179</v>
      </c>
      <c r="J31" t="s">
        <v>135</v>
      </c>
      <c r="K31" t="s">
        <v>136</v>
      </c>
    </row>
    <row r="32" spans="1:12" x14ac:dyDescent="0.3">
      <c r="A32" t="s">
        <v>191</v>
      </c>
      <c r="B32" t="s">
        <v>28</v>
      </c>
      <c r="C32" t="s">
        <v>139</v>
      </c>
      <c r="D32" t="s">
        <v>141</v>
      </c>
      <c r="E32" t="s">
        <v>140</v>
      </c>
      <c r="F32" t="s">
        <v>149</v>
      </c>
      <c r="G32">
        <v>60.108669999999996</v>
      </c>
      <c r="H32">
        <v>-113.64258</v>
      </c>
      <c r="I32" s="97">
        <v>16750</v>
      </c>
      <c r="J32" t="s">
        <v>27</v>
      </c>
      <c r="K32" t="s">
        <v>130</v>
      </c>
    </row>
    <row r="33" spans="1:11" x14ac:dyDescent="0.3">
      <c r="A33" t="s">
        <v>192</v>
      </c>
      <c r="B33" t="s">
        <v>193</v>
      </c>
      <c r="C33" t="s">
        <v>123</v>
      </c>
      <c r="D33" t="s">
        <v>134</v>
      </c>
      <c r="E33" t="s">
        <v>133</v>
      </c>
      <c r="F33" t="s">
        <v>111</v>
      </c>
      <c r="G33">
        <v>16</v>
      </c>
      <c r="H33">
        <v>-24</v>
      </c>
      <c r="I33" s="97">
        <v>27653</v>
      </c>
      <c r="J33" t="s">
        <v>135</v>
      </c>
      <c r="K33" t="s">
        <v>136</v>
      </c>
    </row>
    <row r="34" spans="1:11" x14ac:dyDescent="0.3">
      <c r="A34" t="s">
        <v>194</v>
      </c>
      <c r="B34" t="s">
        <v>195</v>
      </c>
      <c r="C34" t="s">
        <v>123</v>
      </c>
      <c r="D34" t="s">
        <v>134</v>
      </c>
      <c r="E34" t="s">
        <v>133</v>
      </c>
      <c r="F34" t="s">
        <v>111</v>
      </c>
      <c r="G34">
        <v>7</v>
      </c>
      <c r="H34">
        <v>21</v>
      </c>
      <c r="I34" s="97">
        <v>22179</v>
      </c>
      <c r="J34" t="s">
        <v>135</v>
      </c>
      <c r="K34" t="s">
        <v>113</v>
      </c>
    </row>
    <row r="35" spans="1:11" x14ac:dyDescent="0.3">
      <c r="A35" t="s">
        <v>196</v>
      </c>
      <c r="B35" t="s">
        <v>197</v>
      </c>
      <c r="C35" t="s">
        <v>123</v>
      </c>
      <c r="D35" t="s">
        <v>134</v>
      </c>
      <c r="E35" t="s">
        <v>133</v>
      </c>
      <c r="F35" t="s">
        <v>111</v>
      </c>
      <c r="G35">
        <v>15</v>
      </c>
      <c r="H35">
        <v>19</v>
      </c>
      <c r="I35" s="97">
        <v>22179</v>
      </c>
      <c r="J35" t="s">
        <v>135</v>
      </c>
      <c r="K35" t="s">
        <v>113</v>
      </c>
    </row>
    <row r="36" spans="1:11" x14ac:dyDescent="0.3">
      <c r="A36" t="s">
        <v>198</v>
      </c>
      <c r="B36" t="s">
        <v>33</v>
      </c>
      <c r="C36" t="s">
        <v>139</v>
      </c>
      <c r="D36" t="s">
        <v>141</v>
      </c>
      <c r="E36" t="s">
        <v>144</v>
      </c>
      <c r="F36" t="s">
        <v>111</v>
      </c>
      <c r="G36">
        <v>-33.456940000000003</v>
      </c>
      <c r="H36">
        <v>-70.648269999999997</v>
      </c>
      <c r="I36" s="97">
        <v>16734</v>
      </c>
      <c r="J36" t="s">
        <v>142</v>
      </c>
      <c r="K36" t="s">
        <v>130</v>
      </c>
    </row>
    <row r="37" spans="1:11" x14ac:dyDescent="0.3">
      <c r="A37" t="s">
        <v>199</v>
      </c>
      <c r="B37" t="s">
        <v>38</v>
      </c>
      <c r="C37" t="s">
        <v>108</v>
      </c>
      <c r="D37" t="s">
        <v>148</v>
      </c>
      <c r="E37" t="s">
        <v>148</v>
      </c>
      <c r="F37" t="s">
        <v>111</v>
      </c>
      <c r="G37">
        <v>35</v>
      </c>
      <c r="H37">
        <v>105</v>
      </c>
      <c r="I37" s="97">
        <v>16734</v>
      </c>
      <c r="J37" t="s">
        <v>150</v>
      </c>
      <c r="K37" t="s">
        <v>121</v>
      </c>
    </row>
    <row r="38" spans="1:11" x14ac:dyDescent="0.3">
      <c r="A38" t="s">
        <v>200</v>
      </c>
      <c r="B38" t="s">
        <v>34</v>
      </c>
      <c r="C38" t="s">
        <v>139</v>
      </c>
      <c r="D38" t="s">
        <v>141</v>
      </c>
      <c r="E38" t="s">
        <v>144</v>
      </c>
      <c r="F38" t="s">
        <v>111</v>
      </c>
      <c r="G38">
        <v>4</v>
      </c>
      <c r="H38">
        <v>-73.25</v>
      </c>
      <c r="I38" s="97">
        <v>16746</v>
      </c>
      <c r="J38" t="s">
        <v>142</v>
      </c>
      <c r="K38" t="s">
        <v>121</v>
      </c>
    </row>
    <row r="39" spans="1:11" x14ac:dyDescent="0.3">
      <c r="A39" t="s">
        <v>201</v>
      </c>
      <c r="B39" t="s">
        <v>202</v>
      </c>
      <c r="C39" t="s">
        <v>123</v>
      </c>
      <c r="D39" t="s">
        <v>134</v>
      </c>
      <c r="E39" t="s">
        <v>133</v>
      </c>
      <c r="F39" t="s">
        <v>111</v>
      </c>
      <c r="G39">
        <v>-12.23333</v>
      </c>
      <c r="H39">
        <v>44.445529999999998</v>
      </c>
      <c r="I39" s="97">
        <v>27710</v>
      </c>
      <c r="J39" t="s">
        <v>135</v>
      </c>
      <c r="K39" t="s">
        <v>113</v>
      </c>
    </row>
    <row r="40" spans="1:11" x14ac:dyDescent="0.3">
      <c r="A40" t="s">
        <v>203</v>
      </c>
      <c r="B40" t="s">
        <v>204</v>
      </c>
      <c r="C40" t="s">
        <v>123</v>
      </c>
      <c r="D40" t="s">
        <v>134</v>
      </c>
      <c r="E40" t="s">
        <v>133</v>
      </c>
      <c r="F40" t="s">
        <v>111</v>
      </c>
      <c r="G40">
        <v>-2.5</v>
      </c>
      <c r="H40">
        <v>23.5</v>
      </c>
      <c r="I40" s="97">
        <v>22179</v>
      </c>
      <c r="J40" t="s">
        <v>135</v>
      </c>
      <c r="K40" t="s">
        <v>113</v>
      </c>
    </row>
    <row r="41" spans="1:11" x14ac:dyDescent="0.3">
      <c r="A41" t="s">
        <v>205</v>
      </c>
      <c r="B41" t="s">
        <v>206</v>
      </c>
      <c r="C41" t="s">
        <v>123</v>
      </c>
      <c r="D41" t="s">
        <v>134</v>
      </c>
      <c r="E41" t="s">
        <v>133</v>
      </c>
      <c r="F41" t="s">
        <v>111</v>
      </c>
      <c r="G41">
        <v>-1</v>
      </c>
      <c r="H41">
        <v>15.5</v>
      </c>
      <c r="I41" s="97">
        <v>22179</v>
      </c>
      <c r="J41" t="s">
        <v>135</v>
      </c>
      <c r="K41" t="s">
        <v>136</v>
      </c>
    </row>
    <row r="42" spans="1:11" x14ac:dyDescent="0.3">
      <c r="A42" t="s">
        <v>207</v>
      </c>
      <c r="B42" t="s">
        <v>208</v>
      </c>
      <c r="C42" t="s">
        <v>139</v>
      </c>
      <c r="D42" t="s">
        <v>141</v>
      </c>
      <c r="E42" t="s">
        <v>140</v>
      </c>
      <c r="F42" t="s">
        <v>111</v>
      </c>
      <c r="G42">
        <v>10</v>
      </c>
      <c r="H42">
        <v>-84</v>
      </c>
      <c r="I42" s="97">
        <v>16743</v>
      </c>
      <c r="J42" t="s">
        <v>142</v>
      </c>
      <c r="K42" t="s">
        <v>121</v>
      </c>
    </row>
    <row r="43" spans="1:11" x14ac:dyDescent="0.3">
      <c r="A43" t="s">
        <v>209</v>
      </c>
      <c r="B43" t="s">
        <v>210</v>
      </c>
      <c r="C43" t="s">
        <v>123</v>
      </c>
      <c r="D43" t="s">
        <v>134</v>
      </c>
      <c r="E43" t="s">
        <v>133</v>
      </c>
      <c r="F43" t="s">
        <v>111</v>
      </c>
      <c r="G43">
        <v>8</v>
      </c>
      <c r="H43">
        <v>-5.5</v>
      </c>
      <c r="I43" s="97">
        <v>22179</v>
      </c>
      <c r="J43" t="s">
        <v>135</v>
      </c>
      <c r="K43" t="s">
        <v>136</v>
      </c>
    </row>
    <row r="44" spans="1:11" x14ac:dyDescent="0.3">
      <c r="A44" t="s">
        <v>211</v>
      </c>
      <c r="B44" t="s">
        <v>212</v>
      </c>
      <c r="C44" t="s">
        <v>116</v>
      </c>
      <c r="D44" t="s">
        <v>118</v>
      </c>
      <c r="E44" t="s">
        <v>117</v>
      </c>
      <c r="F44" t="s">
        <v>119</v>
      </c>
      <c r="G44">
        <v>45.166670000000003</v>
      </c>
      <c r="H44">
        <v>15.5</v>
      </c>
      <c r="I44" s="97">
        <v>33746</v>
      </c>
      <c r="J44" t="s">
        <v>120</v>
      </c>
      <c r="K44" t="s">
        <v>121</v>
      </c>
    </row>
    <row r="45" spans="1:11" x14ac:dyDescent="0.3">
      <c r="A45" t="s">
        <v>213</v>
      </c>
      <c r="B45" t="s">
        <v>214</v>
      </c>
      <c r="C45" t="s">
        <v>139</v>
      </c>
      <c r="D45" t="s">
        <v>141</v>
      </c>
      <c r="E45" t="s">
        <v>140</v>
      </c>
      <c r="F45" t="s">
        <v>111</v>
      </c>
      <c r="G45">
        <v>22</v>
      </c>
      <c r="H45">
        <v>-79.5</v>
      </c>
      <c r="I45" s="97">
        <v>16734</v>
      </c>
      <c r="J45" t="s">
        <v>142</v>
      </c>
      <c r="K45" t="s">
        <v>121</v>
      </c>
    </row>
    <row r="46" spans="1:11" x14ac:dyDescent="0.3">
      <c r="A46" t="s">
        <v>215</v>
      </c>
      <c r="B46" t="s">
        <v>216</v>
      </c>
      <c r="C46" t="s">
        <v>116</v>
      </c>
      <c r="D46" t="s">
        <v>118</v>
      </c>
      <c r="E46" t="s">
        <v>129</v>
      </c>
      <c r="F46" t="s">
        <v>119</v>
      </c>
      <c r="G46">
        <v>35</v>
      </c>
      <c r="H46">
        <v>33</v>
      </c>
      <c r="I46" s="97">
        <v>22179</v>
      </c>
      <c r="J46" t="s">
        <v>120</v>
      </c>
      <c r="K46" t="s">
        <v>130</v>
      </c>
    </row>
    <row r="47" spans="1:11" x14ac:dyDescent="0.3">
      <c r="A47" t="s">
        <v>217</v>
      </c>
      <c r="B47" t="s">
        <v>8</v>
      </c>
      <c r="C47" t="s">
        <v>116</v>
      </c>
      <c r="D47" t="s">
        <v>118</v>
      </c>
      <c r="E47" t="s">
        <v>117</v>
      </c>
      <c r="F47" t="s">
        <v>149</v>
      </c>
      <c r="G47">
        <v>49.75</v>
      </c>
      <c r="H47">
        <v>15</v>
      </c>
      <c r="I47" s="97">
        <v>33988</v>
      </c>
      <c r="J47" t="s">
        <v>120</v>
      </c>
      <c r="K47" t="s">
        <v>130</v>
      </c>
    </row>
    <row r="48" spans="1:11" x14ac:dyDescent="0.3">
      <c r="A48" t="s">
        <v>218</v>
      </c>
      <c r="B48" t="s">
        <v>219</v>
      </c>
      <c r="C48" t="s">
        <v>116</v>
      </c>
      <c r="D48" t="s">
        <v>118</v>
      </c>
      <c r="E48" t="s">
        <v>129</v>
      </c>
      <c r="F48" t="s">
        <v>149</v>
      </c>
      <c r="G48">
        <v>56</v>
      </c>
      <c r="H48">
        <v>10</v>
      </c>
      <c r="I48" s="97">
        <v>16734</v>
      </c>
      <c r="J48" t="s">
        <v>120</v>
      </c>
      <c r="K48" t="s">
        <v>130</v>
      </c>
    </row>
    <row r="49" spans="1:11" x14ac:dyDescent="0.3">
      <c r="A49" t="s">
        <v>220</v>
      </c>
      <c r="B49" t="s">
        <v>221</v>
      </c>
      <c r="C49" t="s">
        <v>123</v>
      </c>
      <c r="D49" t="s">
        <v>125</v>
      </c>
      <c r="E49" t="s">
        <v>124</v>
      </c>
      <c r="F49" t="s">
        <v>111</v>
      </c>
      <c r="G49">
        <v>11.58901</v>
      </c>
      <c r="H49">
        <v>43.145029999999998</v>
      </c>
      <c r="I49" s="97">
        <v>28388</v>
      </c>
      <c r="J49" t="s">
        <v>126</v>
      </c>
      <c r="K49" t="s">
        <v>136</v>
      </c>
    </row>
    <row r="50" spans="1:11" x14ac:dyDescent="0.3">
      <c r="A50" t="s">
        <v>222</v>
      </c>
      <c r="B50" t="s">
        <v>223</v>
      </c>
      <c r="C50" t="s">
        <v>139</v>
      </c>
      <c r="D50" t="s">
        <v>141</v>
      </c>
      <c r="E50" t="s">
        <v>140</v>
      </c>
      <c r="F50" t="s">
        <v>111</v>
      </c>
      <c r="G50">
        <v>15.5</v>
      </c>
      <c r="H50">
        <v>-61.333329999999997</v>
      </c>
      <c r="I50" s="97">
        <v>28842</v>
      </c>
      <c r="J50" t="s">
        <v>142</v>
      </c>
      <c r="K50" t="s">
        <v>121</v>
      </c>
    </row>
    <row r="51" spans="1:11" x14ac:dyDescent="0.3">
      <c r="A51" t="s">
        <v>224</v>
      </c>
      <c r="B51" t="s">
        <v>225</v>
      </c>
      <c r="C51" t="s">
        <v>139</v>
      </c>
      <c r="D51" t="s">
        <v>141</v>
      </c>
      <c r="E51" t="s">
        <v>140</v>
      </c>
      <c r="F51" t="s">
        <v>111</v>
      </c>
      <c r="G51">
        <v>19</v>
      </c>
      <c r="H51">
        <v>-70.666669999999996</v>
      </c>
      <c r="I51" s="97">
        <v>16734</v>
      </c>
      <c r="J51" t="s">
        <v>142</v>
      </c>
      <c r="K51" t="s">
        <v>121</v>
      </c>
    </row>
    <row r="52" spans="1:11" x14ac:dyDescent="0.3">
      <c r="A52" t="s">
        <v>226</v>
      </c>
      <c r="B52" t="s">
        <v>227</v>
      </c>
      <c r="C52" t="s">
        <v>139</v>
      </c>
      <c r="D52" t="s">
        <v>141</v>
      </c>
      <c r="E52" t="s">
        <v>144</v>
      </c>
      <c r="F52" t="s">
        <v>111</v>
      </c>
      <c r="G52">
        <v>-1.25</v>
      </c>
      <c r="H52">
        <v>-78.25</v>
      </c>
      <c r="I52" s="97">
        <v>16792</v>
      </c>
      <c r="J52" t="s">
        <v>142</v>
      </c>
      <c r="K52" t="s">
        <v>121</v>
      </c>
    </row>
    <row r="53" spans="1:11" x14ac:dyDescent="0.3">
      <c r="A53" t="s">
        <v>228</v>
      </c>
      <c r="B53" t="s">
        <v>51</v>
      </c>
      <c r="C53" t="s">
        <v>123</v>
      </c>
      <c r="D53" t="s">
        <v>125</v>
      </c>
      <c r="E53" t="s">
        <v>124</v>
      </c>
      <c r="F53" t="s">
        <v>111</v>
      </c>
      <c r="G53">
        <v>27</v>
      </c>
      <c r="H53">
        <v>30</v>
      </c>
      <c r="I53" s="97">
        <v>16734</v>
      </c>
      <c r="J53" t="s">
        <v>126</v>
      </c>
      <c r="K53" t="s">
        <v>136</v>
      </c>
    </row>
    <row r="54" spans="1:11" x14ac:dyDescent="0.3">
      <c r="A54" t="s">
        <v>229</v>
      </c>
      <c r="B54" t="s">
        <v>230</v>
      </c>
      <c r="C54" t="s">
        <v>139</v>
      </c>
      <c r="D54" t="s">
        <v>141</v>
      </c>
      <c r="E54" t="s">
        <v>140</v>
      </c>
      <c r="F54" t="s">
        <v>111</v>
      </c>
      <c r="G54">
        <v>13.83333</v>
      </c>
      <c r="H54">
        <v>-88.916669999999996</v>
      </c>
      <c r="I54" s="97">
        <v>16734</v>
      </c>
      <c r="J54" t="s">
        <v>142</v>
      </c>
      <c r="K54" t="s">
        <v>136</v>
      </c>
    </row>
    <row r="55" spans="1:11" x14ac:dyDescent="0.3">
      <c r="A55" t="s">
        <v>231</v>
      </c>
      <c r="B55" t="s">
        <v>232</v>
      </c>
      <c r="C55" t="s">
        <v>123</v>
      </c>
      <c r="D55" t="s">
        <v>134</v>
      </c>
      <c r="E55" t="s">
        <v>133</v>
      </c>
      <c r="F55" t="s">
        <v>111</v>
      </c>
      <c r="G55">
        <v>1.7</v>
      </c>
      <c r="H55">
        <v>10.5</v>
      </c>
      <c r="I55" s="97">
        <v>25154</v>
      </c>
      <c r="J55" t="s">
        <v>135</v>
      </c>
      <c r="K55" t="s">
        <v>121</v>
      </c>
    </row>
    <row r="56" spans="1:11" x14ac:dyDescent="0.3">
      <c r="A56" t="s">
        <v>233</v>
      </c>
      <c r="B56" t="s">
        <v>234</v>
      </c>
      <c r="C56" t="s">
        <v>123</v>
      </c>
      <c r="D56" t="s">
        <v>134</v>
      </c>
      <c r="E56" t="s">
        <v>133</v>
      </c>
      <c r="F56" t="s">
        <v>111</v>
      </c>
      <c r="G56">
        <v>15</v>
      </c>
      <c r="H56">
        <v>39</v>
      </c>
      <c r="I56" s="97">
        <v>34117</v>
      </c>
      <c r="J56" t="s">
        <v>135</v>
      </c>
      <c r="K56" t="s">
        <v>113</v>
      </c>
    </row>
    <row r="57" spans="1:11" x14ac:dyDescent="0.3">
      <c r="A57" t="s">
        <v>235</v>
      </c>
      <c r="B57" t="s">
        <v>236</v>
      </c>
      <c r="C57" t="s">
        <v>116</v>
      </c>
      <c r="D57" t="s">
        <v>118</v>
      </c>
      <c r="E57" t="s">
        <v>117</v>
      </c>
      <c r="F57" t="s">
        <v>119</v>
      </c>
      <c r="G57">
        <v>59</v>
      </c>
      <c r="H57">
        <v>26</v>
      </c>
      <c r="I57" s="97">
        <v>33498</v>
      </c>
      <c r="J57" t="s">
        <v>120</v>
      </c>
      <c r="K57" t="s">
        <v>130</v>
      </c>
    </row>
    <row r="58" spans="1:11" x14ac:dyDescent="0.3">
      <c r="A58" t="s">
        <v>237</v>
      </c>
      <c r="B58" t="s">
        <v>238</v>
      </c>
      <c r="C58" t="s">
        <v>123</v>
      </c>
      <c r="D58" t="s">
        <v>134</v>
      </c>
      <c r="E58" t="s">
        <v>133</v>
      </c>
      <c r="F58" t="s">
        <v>111</v>
      </c>
      <c r="G58">
        <v>9</v>
      </c>
      <c r="H58">
        <v>39.5</v>
      </c>
      <c r="I58" s="97">
        <v>16754</v>
      </c>
      <c r="J58" t="s">
        <v>135</v>
      </c>
      <c r="K58" t="s">
        <v>113</v>
      </c>
    </row>
    <row r="59" spans="1:11" x14ac:dyDescent="0.3">
      <c r="A59" t="s">
        <v>239</v>
      </c>
      <c r="B59" t="s">
        <v>240</v>
      </c>
      <c r="C59" t="s">
        <v>108</v>
      </c>
      <c r="D59" t="s">
        <v>148</v>
      </c>
      <c r="E59" t="s">
        <v>148</v>
      </c>
      <c r="F59" t="s">
        <v>111</v>
      </c>
      <c r="G59">
        <v>-18</v>
      </c>
      <c r="H59">
        <v>178</v>
      </c>
      <c r="I59" s="97">
        <v>25854</v>
      </c>
      <c r="J59" t="s">
        <v>150</v>
      </c>
      <c r="K59" t="s">
        <v>121</v>
      </c>
    </row>
    <row r="60" spans="1:11" x14ac:dyDescent="0.3">
      <c r="A60" t="s">
        <v>241</v>
      </c>
      <c r="B60" t="s">
        <v>242</v>
      </c>
      <c r="C60" t="s">
        <v>116</v>
      </c>
      <c r="D60" t="s">
        <v>118</v>
      </c>
      <c r="E60" t="s">
        <v>117</v>
      </c>
      <c r="F60" t="s">
        <v>149</v>
      </c>
      <c r="G60">
        <v>64</v>
      </c>
      <c r="H60">
        <v>26</v>
      </c>
      <c r="I60" s="97">
        <v>20437</v>
      </c>
      <c r="J60" t="s">
        <v>120</v>
      </c>
      <c r="K60" t="s">
        <v>130</v>
      </c>
    </row>
    <row r="61" spans="1:11" x14ac:dyDescent="0.3">
      <c r="A61" t="s">
        <v>243</v>
      </c>
      <c r="B61" t="s">
        <v>9</v>
      </c>
      <c r="C61" t="s">
        <v>116</v>
      </c>
      <c r="D61" t="s">
        <v>118</v>
      </c>
      <c r="E61" t="s">
        <v>129</v>
      </c>
      <c r="F61" t="s">
        <v>149</v>
      </c>
      <c r="G61">
        <v>46</v>
      </c>
      <c r="H61">
        <v>2</v>
      </c>
      <c r="I61" s="97">
        <v>16734</v>
      </c>
      <c r="J61" t="s">
        <v>120</v>
      </c>
      <c r="K61" t="s">
        <v>130</v>
      </c>
    </row>
    <row r="62" spans="1:11" x14ac:dyDescent="0.3">
      <c r="A62" t="s">
        <v>244</v>
      </c>
      <c r="B62" t="s">
        <v>245</v>
      </c>
      <c r="C62" t="s">
        <v>123</v>
      </c>
      <c r="D62" t="s">
        <v>134</v>
      </c>
      <c r="E62" t="s">
        <v>133</v>
      </c>
      <c r="F62" t="s">
        <v>111</v>
      </c>
      <c r="G62">
        <v>-1</v>
      </c>
      <c r="H62">
        <v>11.75</v>
      </c>
      <c r="I62" s="97">
        <v>22179</v>
      </c>
      <c r="J62" t="s">
        <v>135</v>
      </c>
      <c r="K62" t="s">
        <v>121</v>
      </c>
    </row>
    <row r="63" spans="1:11" x14ac:dyDescent="0.3">
      <c r="A63" t="s">
        <v>246</v>
      </c>
      <c r="B63" t="s">
        <v>247</v>
      </c>
      <c r="C63" t="s">
        <v>123</v>
      </c>
      <c r="D63" t="s">
        <v>134</v>
      </c>
      <c r="E63" t="s">
        <v>133</v>
      </c>
      <c r="F63" t="s">
        <v>111</v>
      </c>
      <c r="G63">
        <v>13.5</v>
      </c>
      <c r="H63">
        <v>-15.5</v>
      </c>
      <c r="I63" s="97">
        <v>24006</v>
      </c>
      <c r="J63" t="s">
        <v>135</v>
      </c>
      <c r="K63" t="s">
        <v>113</v>
      </c>
    </row>
    <row r="64" spans="1:11" x14ac:dyDescent="0.3">
      <c r="A64" t="s">
        <v>94</v>
      </c>
      <c r="B64" t="s">
        <v>248</v>
      </c>
      <c r="C64" t="s">
        <v>116</v>
      </c>
      <c r="D64" t="s">
        <v>118</v>
      </c>
      <c r="E64" t="s">
        <v>117</v>
      </c>
      <c r="F64" t="s">
        <v>119</v>
      </c>
      <c r="G64">
        <v>41.999980000000001</v>
      </c>
      <c r="H64">
        <v>43.499899999999997</v>
      </c>
      <c r="I64" s="97">
        <v>33816</v>
      </c>
      <c r="J64" t="s">
        <v>120</v>
      </c>
      <c r="K64" t="s">
        <v>136</v>
      </c>
    </row>
    <row r="65" spans="1:11" x14ac:dyDescent="0.3">
      <c r="A65" t="s">
        <v>249</v>
      </c>
      <c r="B65" t="s">
        <v>10</v>
      </c>
      <c r="C65" t="s">
        <v>116</v>
      </c>
      <c r="D65" t="s">
        <v>118</v>
      </c>
      <c r="E65" t="s">
        <v>129</v>
      </c>
      <c r="F65" t="s">
        <v>149</v>
      </c>
      <c r="G65">
        <v>51.5</v>
      </c>
      <c r="H65">
        <v>10.5</v>
      </c>
      <c r="I65" s="97">
        <v>26925</v>
      </c>
      <c r="J65" t="s">
        <v>120</v>
      </c>
      <c r="K65" t="s">
        <v>130</v>
      </c>
    </row>
    <row r="66" spans="1:11" x14ac:dyDescent="0.3">
      <c r="A66" t="s">
        <v>250</v>
      </c>
      <c r="B66" t="s">
        <v>251</v>
      </c>
      <c r="C66" t="s">
        <v>123</v>
      </c>
      <c r="D66" t="s">
        <v>134</v>
      </c>
      <c r="E66" t="s">
        <v>133</v>
      </c>
      <c r="F66" t="s">
        <v>111</v>
      </c>
      <c r="G66">
        <v>8.1</v>
      </c>
      <c r="H66">
        <v>-1.2</v>
      </c>
      <c r="I66" s="97">
        <v>20887</v>
      </c>
      <c r="J66" t="s">
        <v>135</v>
      </c>
      <c r="K66" t="s">
        <v>136</v>
      </c>
    </row>
    <row r="67" spans="1:11" x14ac:dyDescent="0.3">
      <c r="A67" t="s">
        <v>252</v>
      </c>
      <c r="B67" t="s">
        <v>253</v>
      </c>
      <c r="C67" t="s">
        <v>116</v>
      </c>
      <c r="D67" t="s">
        <v>118</v>
      </c>
      <c r="E67" t="s">
        <v>129</v>
      </c>
      <c r="F67" t="s">
        <v>149</v>
      </c>
      <c r="G67">
        <v>39</v>
      </c>
      <c r="H67">
        <v>22</v>
      </c>
      <c r="I67" s="97">
        <v>16735</v>
      </c>
      <c r="J67" t="s">
        <v>120</v>
      </c>
      <c r="K67" t="s">
        <v>130</v>
      </c>
    </row>
    <row r="68" spans="1:11" x14ac:dyDescent="0.3">
      <c r="A68" t="s">
        <v>254</v>
      </c>
      <c r="B68" t="s">
        <v>255</v>
      </c>
      <c r="C68" t="s">
        <v>139</v>
      </c>
      <c r="D68" t="s">
        <v>141</v>
      </c>
      <c r="E68" t="s">
        <v>140</v>
      </c>
      <c r="F68" t="s">
        <v>111</v>
      </c>
      <c r="G68">
        <v>12.116669999999999</v>
      </c>
      <c r="H68">
        <v>-61.666670000000003</v>
      </c>
      <c r="I68" s="97">
        <v>27289</v>
      </c>
      <c r="J68" t="s">
        <v>142</v>
      </c>
      <c r="K68" t="s">
        <v>121</v>
      </c>
    </row>
    <row r="69" spans="1:11" x14ac:dyDescent="0.3">
      <c r="A69" t="s">
        <v>256</v>
      </c>
      <c r="B69" t="s">
        <v>257</v>
      </c>
      <c r="C69" t="s">
        <v>139</v>
      </c>
      <c r="D69" t="s">
        <v>141</v>
      </c>
      <c r="E69" t="s">
        <v>140</v>
      </c>
      <c r="F69" t="s">
        <v>111</v>
      </c>
      <c r="G69">
        <v>14.64072</v>
      </c>
      <c r="H69">
        <v>-90.513270000000006</v>
      </c>
      <c r="I69" s="97">
        <v>16762</v>
      </c>
      <c r="J69" t="s">
        <v>142</v>
      </c>
      <c r="K69" t="s">
        <v>136</v>
      </c>
    </row>
    <row r="70" spans="1:11" x14ac:dyDescent="0.3">
      <c r="A70" t="s">
        <v>258</v>
      </c>
      <c r="B70" t="s">
        <v>259</v>
      </c>
      <c r="C70" t="s">
        <v>123</v>
      </c>
      <c r="D70" t="s">
        <v>134</v>
      </c>
      <c r="E70" t="s">
        <v>133</v>
      </c>
      <c r="F70" t="s">
        <v>111</v>
      </c>
      <c r="G70">
        <v>10.83333</v>
      </c>
      <c r="H70">
        <v>-10.66667</v>
      </c>
      <c r="I70" s="97">
        <v>21531</v>
      </c>
      <c r="J70" t="s">
        <v>135</v>
      </c>
      <c r="K70" t="s">
        <v>113</v>
      </c>
    </row>
    <row r="71" spans="1:11" x14ac:dyDescent="0.3">
      <c r="A71" t="s">
        <v>260</v>
      </c>
      <c r="B71" t="s">
        <v>261</v>
      </c>
      <c r="C71" t="s">
        <v>123</v>
      </c>
      <c r="D71" t="s">
        <v>134</v>
      </c>
      <c r="E71" t="s">
        <v>133</v>
      </c>
      <c r="F71" t="s">
        <v>111</v>
      </c>
      <c r="G71">
        <v>12</v>
      </c>
      <c r="H71">
        <v>-15</v>
      </c>
      <c r="I71" s="97">
        <v>27289</v>
      </c>
      <c r="J71" t="s">
        <v>135</v>
      </c>
      <c r="K71" t="s">
        <v>113</v>
      </c>
    </row>
    <row r="72" spans="1:11" x14ac:dyDescent="0.3">
      <c r="A72" t="s">
        <v>262</v>
      </c>
      <c r="B72" t="s">
        <v>263</v>
      </c>
      <c r="C72" t="s">
        <v>139</v>
      </c>
      <c r="D72" t="s">
        <v>141</v>
      </c>
      <c r="E72" t="s">
        <v>144</v>
      </c>
      <c r="F72" t="s">
        <v>111</v>
      </c>
      <c r="G72">
        <v>5</v>
      </c>
      <c r="H72">
        <v>-59</v>
      </c>
      <c r="I72" s="97">
        <v>24370</v>
      </c>
      <c r="J72" t="s">
        <v>142</v>
      </c>
      <c r="K72" t="s">
        <v>121</v>
      </c>
    </row>
    <row r="73" spans="1:11" x14ac:dyDescent="0.3">
      <c r="A73" t="s">
        <v>264</v>
      </c>
      <c r="B73" t="s">
        <v>265</v>
      </c>
      <c r="C73" t="s">
        <v>139</v>
      </c>
      <c r="D73" t="s">
        <v>141</v>
      </c>
      <c r="E73" t="s">
        <v>140</v>
      </c>
      <c r="F73" t="s">
        <v>111</v>
      </c>
      <c r="G73">
        <v>19</v>
      </c>
      <c r="H73">
        <v>-72.416669999999996</v>
      </c>
      <c r="I73" s="97">
        <v>16734</v>
      </c>
      <c r="J73" t="s">
        <v>142</v>
      </c>
      <c r="K73" t="s">
        <v>113</v>
      </c>
    </row>
    <row r="74" spans="1:11" x14ac:dyDescent="0.3">
      <c r="A74" t="s">
        <v>266</v>
      </c>
      <c r="B74" t="s">
        <v>267</v>
      </c>
      <c r="C74" t="s">
        <v>116</v>
      </c>
      <c r="D74" t="s">
        <v>118</v>
      </c>
      <c r="E74" t="s">
        <v>129</v>
      </c>
      <c r="F74" t="s">
        <v>119</v>
      </c>
      <c r="G74">
        <v>41.902360000000002</v>
      </c>
      <c r="H74">
        <v>12.45332</v>
      </c>
    </row>
    <row r="75" spans="1:11" x14ac:dyDescent="0.3">
      <c r="A75" t="s">
        <v>268</v>
      </c>
      <c r="B75" t="s">
        <v>269</v>
      </c>
      <c r="C75" t="s">
        <v>139</v>
      </c>
      <c r="D75" t="s">
        <v>141</v>
      </c>
      <c r="E75" t="s">
        <v>140</v>
      </c>
      <c r="F75" t="s">
        <v>111</v>
      </c>
      <c r="G75">
        <v>15</v>
      </c>
      <c r="H75">
        <v>-86.5</v>
      </c>
      <c r="I75" s="97">
        <v>16788</v>
      </c>
      <c r="J75" t="s">
        <v>142</v>
      </c>
      <c r="K75" t="s">
        <v>136</v>
      </c>
    </row>
    <row r="76" spans="1:11" x14ac:dyDescent="0.3">
      <c r="A76" t="s">
        <v>270</v>
      </c>
      <c r="B76" t="s">
        <v>271</v>
      </c>
      <c r="C76" t="s">
        <v>108</v>
      </c>
      <c r="D76" t="s">
        <v>148</v>
      </c>
      <c r="E76" t="s">
        <v>148</v>
      </c>
      <c r="F76" t="s">
        <v>119</v>
      </c>
      <c r="G76">
        <v>22.285520000000002</v>
      </c>
      <c r="H76">
        <v>114.15769</v>
      </c>
      <c r="J76" t="s">
        <v>150</v>
      </c>
      <c r="K76" t="s">
        <v>130</v>
      </c>
    </row>
    <row r="77" spans="1:11" x14ac:dyDescent="0.3">
      <c r="A77" t="s">
        <v>272</v>
      </c>
      <c r="B77" t="s">
        <v>273</v>
      </c>
      <c r="C77" t="s">
        <v>116</v>
      </c>
      <c r="D77" t="s">
        <v>118</v>
      </c>
      <c r="E77" t="s">
        <v>117</v>
      </c>
      <c r="F77" t="s">
        <v>149</v>
      </c>
      <c r="G77">
        <v>47</v>
      </c>
      <c r="H77">
        <v>20</v>
      </c>
      <c r="I77" s="97">
        <v>20437</v>
      </c>
      <c r="J77" t="s">
        <v>120</v>
      </c>
      <c r="K77" t="s">
        <v>130</v>
      </c>
    </row>
    <row r="78" spans="1:11" x14ac:dyDescent="0.3">
      <c r="A78" t="s">
        <v>274</v>
      </c>
      <c r="B78" t="s">
        <v>275</v>
      </c>
      <c r="C78" t="s">
        <v>116</v>
      </c>
      <c r="D78" t="s">
        <v>118</v>
      </c>
      <c r="E78" t="s">
        <v>129</v>
      </c>
      <c r="F78" t="s">
        <v>149</v>
      </c>
      <c r="G78">
        <v>65</v>
      </c>
      <c r="H78">
        <v>-18</v>
      </c>
      <c r="I78" s="97">
        <v>17125</v>
      </c>
      <c r="J78" t="s">
        <v>120</v>
      </c>
      <c r="K78" t="s">
        <v>130</v>
      </c>
    </row>
    <row r="79" spans="1:11" x14ac:dyDescent="0.3">
      <c r="A79" t="s">
        <v>276</v>
      </c>
      <c r="B79" t="s">
        <v>39</v>
      </c>
      <c r="C79" t="s">
        <v>108</v>
      </c>
      <c r="D79" t="s">
        <v>110</v>
      </c>
      <c r="E79" t="s">
        <v>109</v>
      </c>
      <c r="F79" t="s">
        <v>111</v>
      </c>
      <c r="G79">
        <v>22</v>
      </c>
      <c r="H79">
        <v>79</v>
      </c>
      <c r="I79" s="97">
        <v>16740</v>
      </c>
      <c r="J79" t="s">
        <v>112</v>
      </c>
      <c r="K79" t="s">
        <v>136</v>
      </c>
    </row>
    <row r="80" spans="1:11" x14ac:dyDescent="0.3">
      <c r="A80" t="s">
        <v>277</v>
      </c>
      <c r="B80" t="s">
        <v>40</v>
      </c>
      <c r="C80" t="s">
        <v>108</v>
      </c>
      <c r="D80" t="s">
        <v>148</v>
      </c>
      <c r="E80" t="s">
        <v>148</v>
      </c>
      <c r="F80" t="s">
        <v>111</v>
      </c>
      <c r="G80">
        <v>-5</v>
      </c>
      <c r="H80">
        <v>120</v>
      </c>
      <c r="I80" s="97">
        <v>18534</v>
      </c>
      <c r="J80" t="s">
        <v>150</v>
      </c>
      <c r="K80" t="s">
        <v>136</v>
      </c>
    </row>
    <row r="81" spans="1:11" x14ac:dyDescent="0.3">
      <c r="A81" t="s">
        <v>278</v>
      </c>
      <c r="B81" t="s">
        <v>55</v>
      </c>
      <c r="C81" t="s">
        <v>108</v>
      </c>
      <c r="D81" t="s">
        <v>125</v>
      </c>
      <c r="E81" t="s">
        <v>109</v>
      </c>
      <c r="F81" t="s">
        <v>111</v>
      </c>
      <c r="G81">
        <v>32</v>
      </c>
      <c r="H81">
        <v>53</v>
      </c>
      <c r="I81" s="97">
        <v>16734</v>
      </c>
      <c r="J81" t="s">
        <v>126</v>
      </c>
      <c r="K81" t="s">
        <v>121</v>
      </c>
    </row>
    <row r="82" spans="1:11" x14ac:dyDescent="0.3">
      <c r="A82" t="s">
        <v>279</v>
      </c>
      <c r="B82" t="s">
        <v>280</v>
      </c>
      <c r="C82" t="s">
        <v>108</v>
      </c>
      <c r="D82" t="s">
        <v>125</v>
      </c>
      <c r="E82" t="s">
        <v>109</v>
      </c>
      <c r="F82" t="s">
        <v>111</v>
      </c>
      <c r="G82">
        <v>33</v>
      </c>
      <c r="H82">
        <v>44</v>
      </c>
      <c r="I82" s="97">
        <v>16792</v>
      </c>
      <c r="J82" t="s">
        <v>126</v>
      </c>
      <c r="K82" t="s">
        <v>121</v>
      </c>
    </row>
    <row r="83" spans="1:11" x14ac:dyDescent="0.3">
      <c r="A83" t="s">
        <v>281</v>
      </c>
      <c r="B83" t="s">
        <v>282</v>
      </c>
      <c r="C83" t="s">
        <v>116</v>
      </c>
      <c r="D83" t="s">
        <v>118</v>
      </c>
      <c r="E83" t="s">
        <v>129</v>
      </c>
      <c r="F83" t="s">
        <v>149</v>
      </c>
      <c r="G83">
        <v>53</v>
      </c>
      <c r="H83">
        <v>-8</v>
      </c>
      <c r="I83" s="97">
        <v>20437</v>
      </c>
      <c r="J83" t="s">
        <v>120</v>
      </c>
      <c r="K83" t="s">
        <v>130</v>
      </c>
    </row>
    <row r="84" spans="1:11" x14ac:dyDescent="0.3">
      <c r="A84" t="s">
        <v>283</v>
      </c>
      <c r="B84" t="s">
        <v>284</v>
      </c>
      <c r="C84" t="s">
        <v>108</v>
      </c>
      <c r="D84" t="s">
        <v>125</v>
      </c>
      <c r="E84" t="s">
        <v>109</v>
      </c>
      <c r="F84" t="s">
        <v>119</v>
      </c>
      <c r="G84">
        <v>31.5</v>
      </c>
      <c r="H84">
        <v>34.75</v>
      </c>
      <c r="I84" s="97">
        <v>18029</v>
      </c>
      <c r="J84" t="s">
        <v>126</v>
      </c>
      <c r="K84" t="s">
        <v>130</v>
      </c>
    </row>
    <row r="85" spans="1:11" x14ac:dyDescent="0.3">
      <c r="A85" t="s">
        <v>285</v>
      </c>
      <c r="B85" t="s">
        <v>11</v>
      </c>
      <c r="C85" t="s">
        <v>116</v>
      </c>
      <c r="D85" t="s">
        <v>118</v>
      </c>
      <c r="E85" t="s">
        <v>129</v>
      </c>
      <c r="F85" t="s">
        <v>149</v>
      </c>
      <c r="G85">
        <v>42.833329999999997</v>
      </c>
      <c r="H85">
        <v>12.83333</v>
      </c>
      <c r="I85" s="97">
        <v>20437</v>
      </c>
      <c r="J85" t="s">
        <v>120</v>
      </c>
      <c r="K85" t="s">
        <v>130</v>
      </c>
    </row>
    <row r="86" spans="1:11" x14ac:dyDescent="0.3">
      <c r="A86" t="s">
        <v>286</v>
      </c>
      <c r="B86" t="s">
        <v>287</v>
      </c>
      <c r="C86" t="s">
        <v>139</v>
      </c>
      <c r="D86" t="s">
        <v>141</v>
      </c>
      <c r="E86" t="s">
        <v>140</v>
      </c>
      <c r="F86" t="s">
        <v>111</v>
      </c>
      <c r="G86">
        <v>18.16667</v>
      </c>
      <c r="H86">
        <v>-77.25</v>
      </c>
      <c r="I86" s="97">
        <v>22907</v>
      </c>
      <c r="J86" t="s">
        <v>142</v>
      </c>
      <c r="K86" t="s">
        <v>121</v>
      </c>
    </row>
    <row r="87" spans="1:11" x14ac:dyDescent="0.3">
      <c r="A87" t="s">
        <v>288</v>
      </c>
      <c r="B87" t="s">
        <v>41</v>
      </c>
      <c r="C87" t="s">
        <v>108</v>
      </c>
      <c r="D87" t="s">
        <v>148</v>
      </c>
      <c r="E87" t="s">
        <v>148</v>
      </c>
      <c r="F87" t="s">
        <v>149</v>
      </c>
      <c r="G87">
        <v>35.685360000000003</v>
      </c>
      <c r="H87">
        <v>139.75308999999999</v>
      </c>
      <c r="I87" s="97">
        <v>20807</v>
      </c>
      <c r="J87" t="s">
        <v>150</v>
      </c>
      <c r="K87" t="s">
        <v>130</v>
      </c>
    </row>
    <row r="88" spans="1:11" x14ac:dyDescent="0.3">
      <c r="A88" t="s">
        <v>289</v>
      </c>
      <c r="B88" t="s">
        <v>290</v>
      </c>
      <c r="C88" t="s">
        <v>108</v>
      </c>
      <c r="D88" t="s">
        <v>125</v>
      </c>
      <c r="E88" t="s">
        <v>109</v>
      </c>
      <c r="F88" t="s">
        <v>111</v>
      </c>
      <c r="G88">
        <v>31</v>
      </c>
      <c r="H88">
        <v>36</v>
      </c>
      <c r="I88" s="97">
        <v>20437</v>
      </c>
      <c r="J88" t="s">
        <v>126</v>
      </c>
      <c r="K88" t="s">
        <v>136</v>
      </c>
    </row>
    <row r="89" spans="1:11" x14ac:dyDescent="0.3">
      <c r="A89" t="s">
        <v>291</v>
      </c>
      <c r="B89" t="s">
        <v>22</v>
      </c>
      <c r="C89" t="s">
        <v>108</v>
      </c>
      <c r="D89" t="s">
        <v>118</v>
      </c>
      <c r="E89" t="s">
        <v>109</v>
      </c>
      <c r="F89" t="s">
        <v>119</v>
      </c>
      <c r="G89">
        <v>48</v>
      </c>
      <c r="H89">
        <v>68</v>
      </c>
      <c r="I89" s="97">
        <v>33665</v>
      </c>
      <c r="J89" t="s">
        <v>120</v>
      </c>
      <c r="K89" t="s">
        <v>121</v>
      </c>
    </row>
    <row r="90" spans="1:11" x14ac:dyDescent="0.3">
      <c r="A90" t="s">
        <v>292</v>
      </c>
      <c r="B90" t="s">
        <v>293</v>
      </c>
      <c r="C90" t="s">
        <v>123</v>
      </c>
      <c r="D90" t="s">
        <v>134</v>
      </c>
      <c r="E90" t="s">
        <v>133</v>
      </c>
      <c r="F90" t="s">
        <v>111</v>
      </c>
      <c r="G90">
        <v>1</v>
      </c>
      <c r="H90">
        <v>38</v>
      </c>
      <c r="I90" s="97">
        <v>23361</v>
      </c>
      <c r="J90" t="s">
        <v>135</v>
      </c>
      <c r="K90" t="s">
        <v>136</v>
      </c>
    </row>
    <row r="91" spans="1:11" x14ac:dyDescent="0.3">
      <c r="A91" t="s">
        <v>294</v>
      </c>
      <c r="B91" t="s">
        <v>295</v>
      </c>
      <c r="C91" t="s">
        <v>108</v>
      </c>
      <c r="D91" t="s">
        <v>148</v>
      </c>
      <c r="E91" t="s">
        <v>148</v>
      </c>
      <c r="F91" t="s">
        <v>119</v>
      </c>
      <c r="G91">
        <v>1.421</v>
      </c>
      <c r="H91">
        <v>172.98400000000001</v>
      </c>
      <c r="I91" s="97">
        <v>36417</v>
      </c>
      <c r="J91" t="s">
        <v>150</v>
      </c>
      <c r="K91" t="s">
        <v>136</v>
      </c>
    </row>
    <row r="92" spans="1:11" x14ac:dyDescent="0.3">
      <c r="A92" t="s">
        <v>296</v>
      </c>
      <c r="B92" t="s">
        <v>297</v>
      </c>
      <c r="C92" t="s">
        <v>108</v>
      </c>
      <c r="D92" t="s">
        <v>148</v>
      </c>
      <c r="E92" t="s">
        <v>148</v>
      </c>
      <c r="F92" t="s">
        <v>111</v>
      </c>
      <c r="G92">
        <v>40</v>
      </c>
      <c r="H92">
        <v>127</v>
      </c>
      <c r="I92" s="97">
        <v>33498</v>
      </c>
      <c r="J92" t="s">
        <v>150</v>
      </c>
      <c r="K92" t="s">
        <v>113</v>
      </c>
    </row>
    <row r="93" spans="1:11" x14ac:dyDescent="0.3">
      <c r="A93" t="s">
        <v>298</v>
      </c>
      <c r="B93" t="s">
        <v>43</v>
      </c>
      <c r="C93" t="s">
        <v>108</v>
      </c>
      <c r="D93" t="s">
        <v>148</v>
      </c>
      <c r="E93" t="s">
        <v>148</v>
      </c>
      <c r="F93" t="s">
        <v>149</v>
      </c>
      <c r="G93">
        <v>36.5</v>
      </c>
      <c r="H93">
        <v>127.75</v>
      </c>
      <c r="I93" s="97">
        <v>33498</v>
      </c>
      <c r="J93" t="s">
        <v>150</v>
      </c>
      <c r="K93" t="s">
        <v>130</v>
      </c>
    </row>
    <row r="94" spans="1:11" x14ac:dyDescent="0.3">
      <c r="A94" t="s">
        <v>299</v>
      </c>
      <c r="B94" t="s">
        <v>56</v>
      </c>
      <c r="C94" t="s">
        <v>108</v>
      </c>
      <c r="D94" t="s">
        <v>125</v>
      </c>
      <c r="E94" t="s">
        <v>109</v>
      </c>
      <c r="F94" t="s">
        <v>111</v>
      </c>
      <c r="G94">
        <v>29.369720000000001</v>
      </c>
      <c r="H94">
        <v>47.97833</v>
      </c>
      <c r="I94" s="97">
        <v>23145</v>
      </c>
      <c r="J94" t="s">
        <v>126</v>
      </c>
      <c r="K94" t="s">
        <v>130</v>
      </c>
    </row>
    <row r="95" spans="1:11" x14ac:dyDescent="0.3">
      <c r="A95" t="s">
        <v>300</v>
      </c>
      <c r="B95" t="s">
        <v>301</v>
      </c>
      <c r="C95" t="s">
        <v>108</v>
      </c>
      <c r="D95" t="s">
        <v>118</v>
      </c>
      <c r="E95" t="s">
        <v>109</v>
      </c>
      <c r="F95" t="s">
        <v>119</v>
      </c>
      <c r="G95">
        <v>41.5</v>
      </c>
      <c r="H95">
        <v>75</v>
      </c>
      <c r="I95" s="97">
        <v>33665</v>
      </c>
      <c r="J95" t="s">
        <v>120</v>
      </c>
      <c r="K95" t="s">
        <v>136</v>
      </c>
    </row>
    <row r="96" spans="1:11" x14ac:dyDescent="0.3">
      <c r="A96" t="s">
        <v>302</v>
      </c>
      <c r="B96" t="s">
        <v>303</v>
      </c>
      <c r="C96" t="s">
        <v>108</v>
      </c>
      <c r="D96" t="s">
        <v>148</v>
      </c>
      <c r="E96" t="s">
        <v>148</v>
      </c>
      <c r="F96" t="s">
        <v>111</v>
      </c>
      <c r="G96">
        <v>18</v>
      </c>
      <c r="H96">
        <v>105</v>
      </c>
      <c r="I96" s="97">
        <v>20437</v>
      </c>
      <c r="J96" t="s">
        <v>150</v>
      </c>
      <c r="K96" t="s">
        <v>136</v>
      </c>
    </row>
    <row r="97" spans="1:11" x14ac:dyDescent="0.3">
      <c r="A97" t="s">
        <v>304</v>
      </c>
      <c r="B97" t="s">
        <v>305</v>
      </c>
      <c r="C97" t="s">
        <v>116</v>
      </c>
      <c r="D97" t="s">
        <v>118</v>
      </c>
      <c r="E97" t="s">
        <v>117</v>
      </c>
      <c r="F97" t="s">
        <v>119</v>
      </c>
      <c r="G97">
        <v>57</v>
      </c>
      <c r="H97">
        <v>25</v>
      </c>
      <c r="I97" s="97">
        <v>33498</v>
      </c>
      <c r="J97" t="s">
        <v>120</v>
      </c>
      <c r="K97" t="s">
        <v>130</v>
      </c>
    </row>
    <row r="98" spans="1:11" x14ac:dyDescent="0.3">
      <c r="A98" t="s">
        <v>306</v>
      </c>
      <c r="B98" t="s">
        <v>307</v>
      </c>
      <c r="C98" t="s">
        <v>108</v>
      </c>
      <c r="D98" t="s">
        <v>125</v>
      </c>
      <c r="E98" t="s">
        <v>109</v>
      </c>
      <c r="F98" t="s">
        <v>111</v>
      </c>
      <c r="G98">
        <v>33.833329999999997</v>
      </c>
      <c r="H98">
        <v>35.833329999999997</v>
      </c>
      <c r="I98" s="97">
        <v>16734</v>
      </c>
      <c r="J98" t="s">
        <v>126</v>
      </c>
      <c r="K98" t="s">
        <v>121</v>
      </c>
    </row>
    <row r="99" spans="1:11" x14ac:dyDescent="0.3">
      <c r="A99" t="s">
        <v>308</v>
      </c>
      <c r="B99" t="s">
        <v>309</v>
      </c>
      <c r="C99" t="s">
        <v>123</v>
      </c>
      <c r="D99" t="s">
        <v>134</v>
      </c>
      <c r="E99" t="s">
        <v>133</v>
      </c>
      <c r="F99" t="s">
        <v>111</v>
      </c>
      <c r="G99">
        <v>-29.5</v>
      </c>
      <c r="H99">
        <v>28.25</v>
      </c>
      <c r="I99" s="97">
        <v>24397</v>
      </c>
      <c r="J99" t="s">
        <v>135</v>
      </c>
      <c r="K99" t="s">
        <v>136</v>
      </c>
    </row>
    <row r="100" spans="1:11" x14ac:dyDescent="0.3">
      <c r="A100" t="s">
        <v>310</v>
      </c>
      <c r="B100" t="s">
        <v>311</v>
      </c>
      <c r="C100" t="s">
        <v>123</v>
      </c>
      <c r="D100" t="s">
        <v>134</v>
      </c>
      <c r="E100" t="s">
        <v>133</v>
      </c>
      <c r="F100" t="s">
        <v>111</v>
      </c>
      <c r="G100">
        <v>6.5</v>
      </c>
      <c r="H100">
        <v>-9.5</v>
      </c>
      <c r="I100" s="97">
        <v>16743</v>
      </c>
      <c r="J100" t="s">
        <v>135</v>
      </c>
      <c r="K100" t="s">
        <v>113</v>
      </c>
    </row>
    <row r="101" spans="1:11" x14ac:dyDescent="0.3">
      <c r="A101" t="s">
        <v>312</v>
      </c>
      <c r="B101" t="s">
        <v>313</v>
      </c>
      <c r="C101" t="s">
        <v>123</v>
      </c>
      <c r="D101" t="s">
        <v>125</v>
      </c>
      <c r="E101" t="s">
        <v>124</v>
      </c>
      <c r="F101" t="s">
        <v>111</v>
      </c>
      <c r="G101">
        <v>28</v>
      </c>
      <c r="H101">
        <v>17</v>
      </c>
      <c r="I101" s="97">
        <v>20437</v>
      </c>
      <c r="J101" t="s">
        <v>126</v>
      </c>
      <c r="K101" t="s">
        <v>121</v>
      </c>
    </row>
    <row r="102" spans="1:11" x14ac:dyDescent="0.3">
      <c r="A102" t="s">
        <v>314</v>
      </c>
      <c r="B102" t="s">
        <v>315</v>
      </c>
      <c r="C102" t="s">
        <v>116</v>
      </c>
      <c r="D102" t="s">
        <v>118</v>
      </c>
      <c r="E102" t="s">
        <v>129</v>
      </c>
      <c r="F102" t="s">
        <v>119</v>
      </c>
      <c r="G102">
        <v>47.166670000000003</v>
      </c>
      <c r="H102">
        <v>9.5333299999999994</v>
      </c>
      <c r="I102" s="97">
        <v>33134</v>
      </c>
      <c r="J102" t="s">
        <v>120</v>
      </c>
      <c r="K102" t="s">
        <v>130</v>
      </c>
    </row>
    <row r="103" spans="1:11" x14ac:dyDescent="0.3">
      <c r="A103" t="s">
        <v>316</v>
      </c>
      <c r="B103" t="s">
        <v>317</v>
      </c>
      <c r="C103" t="s">
        <v>116</v>
      </c>
      <c r="D103" t="s">
        <v>118</v>
      </c>
      <c r="E103" t="s">
        <v>117</v>
      </c>
      <c r="F103" t="s">
        <v>119</v>
      </c>
      <c r="G103">
        <v>55.416670000000003</v>
      </c>
      <c r="H103">
        <v>24</v>
      </c>
      <c r="I103" s="97">
        <v>33498</v>
      </c>
      <c r="J103" t="s">
        <v>120</v>
      </c>
      <c r="K103" t="s">
        <v>130</v>
      </c>
    </row>
    <row r="104" spans="1:11" x14ac:dyDescent="0.3">
      <c r="A104" t="s">
        <v>318</v>
      </c>
      <c r="B104" t="s">
        <v>319</v>
      </c>
      <c r="C104" t="s">
        <v>116</v>
      </c>
      <c r="D104" t="s">
        <v>118</v>
      </c>
      <c r="E104" t="s">
        <v>129</v>
      </c>
      <c r="F104" t="s">
        <v>149</v>
      </c>
      <c r="G104">
        <v>49.611669999999997</v>
      </c>
      <c r="H104">
        <v>6.13</v>
      </c>
      <c r="I104" s="97">
        <v>16734</v>
      </c>
      <c r="J104" t="s">
        <v>120</v>
      </c>
      <c r="K104" t="s">
        <v>130</v>
      </c>
    </row>
    <row r="105" spans="1:11" x14ac:dyDescent="0.3">
      <c r="A105" t="s">
        <v>320</v>
      </c>
      <c r="B105" t="s">
        <v>321</v>
      </c>
      <c r="C105" t="s">
        <v>116</v>
      </c>
      <c r="D105" t="s">
        <v>118</v>
      </c>
      <c r="E105" t="s">
        <v>117</v>
      </c>
      <c r="F105" t="s">
        <v>119</v>
      </c>
      <c r="G105">
        <v>41.666670000000003</v>
      </c>
      <c r="H105">
        <v>21.75</v>
      </c>
      <c r="I105" s="97">
        <v>34067</v>
      </c>
      <c r="J105" t="s">
        <v>120</v>
      </c>
      <c r="K105" t="s">
        <v>121</v>
      </c>
    </row>
    <row r="106" spans="1:11" x14ac:dyDescent="0.3">
      <c r="A106" t="s">
        <v>322</v>
      </c>
      <c r="B106" t="s">
        <v>323</v>
      </c>
      <c r="C106" t="s">
        <v>123</v>
      </c>
      <c r="D106" t="s">
        <v>134</v>
      </c>
      <c r="E106" t="s">
        <v>133</v>
      </c>
      <c r="F106" t="s">
        <v>111</v>
      </c>
      <c r="G106">
        <v>-20</v>
      </c>
      <c r="H106">
        <v>47</v>
      </c>
      <c r="I106" s="97">
        <v>22179</v>
      </c>
      <c r="J106" t="s">
        <v>135</v>
      </c>
      <c r="K106" t="s">
        <v>113</v>
      </c>
    </row>
    <row r="107" spans="1:11" x14ac:dyDescent="0.3">
      <c r="A107" t="s">
        <v>324</v>
      </c>
      <c r="B107" t="s">
        <v>325</v>
      </c>
      <c r="C107" t="s">
        <v>123</v>
      </c>
      <c r="D107" t="s">
        <v>134</v>
      </c>
      <c r="E107" t="s">
        <v>133</v>
      </c>
      <c r="F107" t="s">
        <v>111</v>
      </c>
      <c r="G107">
        <v>-13.5</v>
      </c>
      <c r="H107">
        <v>34</v>
      </c>
      <c r="I107" s="97">
        <v>23712</v>
      </c>
      <c r="J107" t="s">
        <v>135</v>
      </c>
      <c r="K107" t="s">
        <v>113</v>
      </c>
    </row>
    <row r="108" spans="1:11" x14ac:dyDescent="0.3">
      <c r="A108" t="s">
        <v>326</v>
      </c>
      <c r="B108" t="s">
        <v>42</v>
      </c>
      <c r="C108" t="s">
        <v>108</v>
      </c>
      <c r="D108" t="s">
        <v>148</v>
      </c>
      <c r="E108" t="s">
        <v>148</v>
      </c>
      <c r="F108" t="s">
        <v>111</v>
      </c>
      <c r="G108">
        <v>2.5</v>
      </c>
      <c r="H108">
        <v>112.5</v>
      </c>
      <c r="I108" s="97">
        <v>21080</v>
      </c>
      <c r="J108" t="s">
        <v>150</v>
      </c>
      <c r="K108" t="s">
        <v>121</v>
      </c>
    </row>
    <row r="109" spans="1:11" x14ac:dyDescent="0.3">
      <c r="A109" t="s">
        <v>327</v>
      </c>
      <c r="B109" t="s">
        <v>328</v>
      </c>
      <c r="C109" t="s">
        <v>108</v>
      </c>
      <c r="D109" t="s">
        <v>110</v>
      </c>
      <c r="E109" t="s">
        <v>109</v>
      </c>
      <c r="F109" t="s">
        <v>111</v>
      </c>
      <c r="G109">
        <v>3.2</v>
      </c>
      <c r="H109">
        <v>73</v>
      </c>
      <c r="I109" s="97">
        <v>24006</v>
      </c>
      <c r="J109" t="s">
        <v>112</v>
      </c>
      <c r="K109" t="s">
        <v>121</v>
      </c>
    </row>
    <row r="110" spans="1:11" x14ac:dyDescent="0.3">
      <c r="A110" t="s">
        <v>329</v>
      </c>
      <c r="B110" t="s">
        <v>330</v>
      </c>
      <c r="C110" t="s">
        <v>123</v>
      </c>
      <c r="D110" t="s">
        <v>134</v>
      </c>
      <c r="E110" t="s">
        <v>133</v>
      </c>
      <c r="F110" t="s">
        <v>111</v>
      </c>
      <c r="G110">
        <v>18</v>
      </c>
      <c r="H110">
        <v>-2</v>
      </c>
      <c r="I110" s="97">
        <v>22187</v>
      </c>
      <c r="J110" t="s">
        <v>135</v>
      </c>
      <c r="K110" t="s">
        <v>113</v>
      </c>
    </row>
    <row r="111" spans="1:11" x14ac:dyDescent="0.3">
      <c r="A111" t="s">
        <v>331</v>
      </c>
      <c r="B111" t="s">
        <v>332</v>
      </c>
      <c r="C111" t="s">
        <v>116</v>
      </c>
      <c r="D111" t="s">
        <v>118</v>
      </c>
      <c r="E111" t="s">
        <v>129</v>
      </c>
      <c r="F111" t="s">
        <v>119</v>
      </c>
      <c r="G111">
        <v>35.916670000000003</v>
      </c>
      <c r="H111">
        <v>14.43333</v>
      </c>
      <c r="I111" s="97">
        <v>23712</v>
      </c>
      <c r="J111" t="s">
        <v>126</v>
      </c>
      <c r="K111" t="s">
        <v>130</v>
      </c>
    </row>
    <row r="112" spans="1:11" x14ac:dyDescent="0.3">
      <c r="A112" t="s">
        <v>333</v>
      </c>
      <c r="B112" t="s">
        <v>334</v>
      </c>
      <c r="C112" t="s">
        <v>108</v>
      </c>
      <c r="D112" t="s">
        <v>148</v>
      </c>
      <c r="E112" t="s">
        <v>148</v>
      </c>
      <c r="F112" t="s">
        <v>111</v>
      </c>
      <c r="G112">
        <v>7.1130000000000004</v>
      </c>
      <c r="H112">
        <v>171.23599999999999</v>
      </c>
      <c r="I112" s="97">
        <v>33498</v>
      </c>
      <c r="J112" t="s">
        <v>150</v>
      </c>
      <c r="K112" t="s">
        <v>121</v>
      </c>
    </row>
    <row r="113" spans="1:11" x14ac:dyDescent="0.3">
      <c r="A113" t="s">
        <v>335</v>
      </c>
      <c r="B113" t="s">
        <v>336</v>
      </c>
      <c r="C113" t="s">
        <v>123</v>
      </c>
      <c r="D113" t="s">
        <v>134</v>
      </c>
      <c r="E113" t="s">
        <v>133</v>
      </c>
      <c r="F113" t="s">
        <v>111</v>
      </c>
      <c r="G113">
        <v>20.25</v>
      </c>
      <c r="H113">
        <v>-10.5</v>
      </c>
      <c r="I113" s="97">
        <v>22581</v>
      </c>
      <c r="J113" t="s">
        <v>135</v>
      </c>
      <c r="K113" t="s">
        <v>136</v>
      </c>
    </row>
    <row r="114" spans="1:11" x14ac:dyDescent="0.3">
      <c r="A114" t="s">
        <v>337</v>
      </c>
      <c r="B114" t="s">
        <v>338</v>
      </c>
      <c r="C114" t="s">
        <v>123</v>
      </c>
      <c r="D114" t="s">
        <v>134</v>
      </c>
      <c r="E114" t="s">
        <v>133</v>
      </c>
      <c r="F114" t="s">
        <v>111</v>
      </c>
      <c r="G114">
        <v>-20.3</v>
      </c>
      <c r="H114">
        <v>57.583329999999997</v>
      </c>
      <c r="I114" s="97">
        <v>24952</v>
      </c>
      <c r="J114" t="s">
        <v>135</v>
      </c>
      <c r="K114" t="s">
        <v>121</v>
      </c>
    </row>
    <row r="115" spans="1:11" x14ac:dyDescent="0.3">
      <c r="A115" t="s">
        <v>339</v>
      </c>
      <c r="B115" t="s">
        <v>35</v>
      </c>
      <c r="C115" t="s">
        <v>139</v>
      </c>
      <c r="D115" t="s">
        <v>141</v>
      </c>
      <c r="E115" t="s">
        <v>140</v>
      </c>
      <c r="F115" t="s">
        <v>149</v>
      </c>
      <c r="G115">
        <v>19.428470000000001</v>
      </c>
      <c r="H115">
        <v>-99.127660000000006</v>
      </c>
      <c r="I115" s="97">
        <v>16748</v>
      </c>
      <c r="J115" t="s">
        <v>142</v>
      </c>
      <c r="K115" t="s">
        <v>121</v>
      </c>
    </row>
    <row r="116" spans="1:11" x14ac:dyDescent="0.3">
      <c r="A116" t="s">
        <v>340</v>
      </c>
      <c r="B116" t="s">
        <v>341</v>
      </c>
      <c r="C116" t="s">
        <v>108</v>
      </c>
      <c r="D116" t="s">
        <v>148</v>
      </c>
      <c r="E116" t="s">
        <v>148</v>
      </c>
      <c r="F116" t="s">
        <v>111</v>
      </c>
      <c r="G116">
        <v>6.9240000000000004</v>
      </c>
      <c r="H116">
        <v>158.16200000000001</v>
      </c>
      <c r="I116" s="97">
        <v>33498</v>
      </c>
      <c r="J116" t="s">
        <v>150</v>
      </c>
      <c r="K116" t="s">
        <v>136</v>
      </c>
    </row>
    <row r="117" spans="1:11" x14ac:dyDescent="0.3">
      <c r="A117" t="s">
        <v>342</v>
      </c>
      <c r="B117" t="s">
        <v>343</v>
      </c>
      <c r="C117" t="s">
        <v>116</v>
      </c>
      <c r="D117" t="s">
        <v>118</v>
      </c>
      <c r="E117" t="s">
        <v>117</v>
      </c>
      <c r="F117" t="s">
        <v>119</v>
      </c>
      <c r="G117">
        <v>47.25</v>
      </c>
      <c r="H117">
        <v>28.58333</v>
      </c>
      <c r="I117" s="97">
        <v>33665</v>
      </c>
      <c r="J117" t="s">
        <v>120</v>
      </c>
      <c r="K117" t="s">
        <v>136</v>
      </c>
    </row>
    <row r="118" spans="1:11" x14ac:dyDescent="0.3">
      <c r="A118" t="s">
        <v>344</v>
      </c>
      <c r="B118" t="s">
        <v>345</v>
      </c>
      <c r="C118" t="s">
        <v>116</v>
      </c>
      <c r="D118" t="s">
        <v>118</v>
      </c>
      <c r="E118" t="s">
        <v>129</v>
      </c>
      <c r="F118" t="s">
        <v>119</v>
      </c>
      <c r="G118">
        <v>43.733330000000002</v>
      </c>
      <c r="H118">
        <v>7.4166699999999999</v>
      </c>
      <c r="I118" s="97">
        <v>34117</v>
      </c>
      <c r="J118" t="s">
        <v>120</v>
      </c>
      <c r="K118" t="s">
        <v>130</v>
      </c>
    </row>
    <row r="119" spans="1:11" x14ac:dyDescent="0.3">
      <c r="A119" t="s">
        <v>346</v>
      </c>
      <c r="B119" t="s">
        <v>347</v>
      </c>
      <c r="C119" t="s">
        <v>108</v>
      </c>
      <c r="D119" t="s">
        <v>148</v>
      </c>
      <c r="E119" t="s">
        <v>148</v>
      </c>
      <c r="F119" t="s">
        <v>111</v>
      </c>
      <c r="G119">
        <v>46</v>
      </c>
      <c r="H119">
        <v>105</v>
      </c>
      <c r="I119" s="97">
        <v>22581</v>
      </c>
      <c r="J119" t="s">
        <v>150</v>
      </c>
      <c r="K119" t="s">
        <v>136</v>
      </c>
    </row>
    <row r="120" spans="1:11" x14ac:dyDescent="0.3">
      <c r="A120" t="s">
        <v>348</v>
      </c>
      <c r="B120" t="s">
        <v>349</v>
      </c>
      <c r="C120" t="s">
        <v>116</v>
      </c>
      <c r="D120" t="s">
        <v>118</v>
      </c>
      <c r="E120" t="s">
        <v>117</v>
      </c>
      <c r="F120" t="s">
        <v>119</v>
      </c>
      <c r="G120">
        <v>42.75</v>
      </c>
      <c r="H120">
        <v>19.25</v>
      </c>
      <c r="I120" s="97">
        <v>38896</v>
      </c>
      <c r="J120" t="s">
        <v>120</v>
      </c>
      <c r="K120" t="s">
        <v>121</v>
      </c>
    </row>
    <row r="121" spans="1:11" x14ac:dyDescent="0.3">
      <c r="A121" t="s">
        <v>350</v>
      </c>
      <c r="B121" t="s">
        <v>351</v>
      </c>
      <c r="C121" t="s">
        <v>123</v>
      </c>
      <c r="D121" t="s">
        <v>125</v>
      </c>
      <c r="E121" t="s">
        <v>124</v>
      </c>
      <c r="F121" t="s">
        <v>111</v>
      </c>
      <c r="G121">
        <v>32</v>
      </c>
      <c r="H121">
        <v>-6</v>
      </c>
      <c r="I121" s="97">
        <v>20771</v>
      </c>
      <c r="J121" t="s">
        <v>126</v>
      </c>
      <c r="K121" t="s">
        <v>136</v>
      </c>
    </row>
    <row r="122" spans="1:11" x14ac:dyDescent="0.3">
      <c r="A122" t="s">
        <v>352</v>
      </c>
      <c r="B122" t="s">
        <v>353</v>
      </c>
      <c r="C122" t="s">
        <v>123</v>
      </c>
      <c r="D122" t="s">
        <v>134</v>
      </c>
      <c r="E122" t="s">
        <v>133</v>
      </c>
      <c r="F122" t="s">
        <v>111</v>
      </c>
      <c r="G122">
        <v>-18.25</v>
      </c>
      <c r="H122">
        <v>35</v>
      </c>
      <c r="I122" s="97">
        <v>27653</v>
      </c>
      <c r="J122" t="s">
        <v>135</v>
      </c>
      <c r="K122" t="s">
        <v>113</v>
      </c>
    </row>
    <row r="123" spans="1:11" x14ac:dyDescent="0.3">
      <c r="A123" t="s">
        <v>354</v>
      </c>
      <c r="B123" t="s">
        <v>355</v>
      </c>
      <c r="C123" t="s">
        <v>108</v>
      </c>
      <c r="D123" t="s">
        <v>148</v>
      </c>
      <c r="E123" t="s">
        <v>148</v>
      </c>
      <c r="F123" t="s">
        <v>111</v>
      </c>
      <c r="G123">
        <v>21</v>
      </c>
      <c r="H123">
        <v>96</v>
      </c>
      <c r="I123" s="97">
        <v>17642</v>
      </c>
      <c r="J123" t="s">
        <v>150</v>
      </c>
      <c r="K123" t="s">
        <v>136</v>
      </c>
    </row>
    <row r="124" spans="1:11" x14ac:dyDescent="0.3">
      <c r="A124" t="s">
        <v>356</v>
      </c>
      <c r="B124" t="s">
        <v>357</v>
      </c>
      <c r="C124" t="s">
        <v>123</v>
      </c>
      <c r="D124" t="s">
        <v>134</v>
      </c>
      <c r="E124" t="s">
        <v>133</v>
      </c>
      <c r="F124" t="s">
        <v>111</v>
      </c>
      <c r="G124">
        <v>-22</v>
      </c>
      <c r="H124">
        <v>17</v>
      </c>
      <c r="I124" s="97">
        <v>32986</v>
      </c>
      <c r="J124" t="s">
        <v>135</v>
      </c>
      <c r="K124" t="s">
        <v>121</v>
      </c>
    </row>
    <row r="125" spans="1:11" x14ac:dyDescent="0.3">
      <c r="A125" t="s">
        <v>358</v>
      </c>
      <c r="B125" t="s">
        <v>359</v>
      </c>
      <c r="C125" t="s">
        <v>108</v>
      </c>
      <c r="D125" t="s">
        <v>148</v>
      </c>
      <c r="E125" t="s">
        <v>148</v>
      </c>
      <c r="F125" t="s">
        <v>119</v>
      </c>
      <c r="G125">
        <v>-0.51700000000000002</v>
      </c>
      <c r="H125">
        <v>166.93299999999999</v>
      </c>
      <c r="I125" s="97">
        <v>36417</v>
      </c>
      <c r="J125" t="s">
        <v>150</v>
      </c>
      <c r="K125" t="s">
        <v>121</v>
      </c>
    </row>
    <row r="126" spans="1:11" x14ac:dyDescent="0.3">
      <c r="A126" t="s">
        <v>360</v>
      </c>
      <c r="B126" t="s">
        <v>361</v>
      </c>
      <c r="C126" t="s">
        <v>108</v>
      </c>
      <c r="D126" t="s">
        <v>110</v>
      </c>
      <c r="E126" t="s">
        <v>109</v>
      </c>
      <c r="F126" t="s">
        <v>111</v>
      </c>
      <c r="G126">
        <v>28</v>
      </c>
      <c r="H126">
        <v>84</v>
      </c>
      <c r="I126" s="97">
        <v>20437</v>
      </c>
      <c r="J126" t="s">
        <v>112</v>
      </c>
      <c r="K126" t="s">
        <v>113</v>
      </c>
    </row>
    <row r="127" spans="1:11" x14ac:dyDescent="0.3">
      <c r="A127" t="s">
        <v>362</v>
      </c>
      <c r="B127" t="s">
        <v>12</v>
      </c>
      <c r="C127" t="s">
        <v>116</v>
      </c>
      <c r="D127" t="s">
        <v>118</v>
      </c>
      <c r="E127" t="s">
        <v>129</v>
      </c>
      <c r="F127" t="s">
        <v>149</v>
      </c>
      <c r="G127">
        <v>52.25</v>
      </c>
      <c r="H127">
        <v>5.75</v>
      </c>
      <c r="I127" s="97">
        <v>16781</v>
      </c>
      <c r="J127" t="s">
        <v>120</v>
      </c>
      <c r="K127" t="s">
        <v>130</v>
      </c>
    </row>
    <row r="128" spans="1:11" x14ac:dyDescent="0.3">
      <c r="A128" t="s">
        <v>363</v>
      </c>
      <c r="B128" t="s">
        <v>48</v>
      </c>
      <c r="C128" t="s">
        <v>108</v>
      </c>
      <c r="D128" t="s">
        <v>148</v>
      </c>
      <c r="E128" t="s">
        <v>148</v>
      </c>
      <c r="F128" t="s">
        <v>149</v>
      </c>
      <c r="G128">
        <v>-42</v>
      </c>
      <c r="H128">
        <v>174</v>
      </c>
      <c r="I128" s="97">
        <v>16734</v>
      </c>
      <c r="J128" t="s">
        <v>150</v>
      </c>
      <c r="K128" t="s">
        <v>130</v>
      </c>
    </row>
    <row r="129" spans="1:11" x14ac:dyDescent="0.3">
      <c r="A129" t="s">
        <v>364</v>
      </c>
      <c r="B129" t="s">
        <v>365</v>
      </c>
      <c r="C129" t="s">
        <v>139</v>
      </c>
      <c r="D129" t="s">
        <v>141</v>
      </c>
      <c r="E129" t="s">
        <v>140</v>
      </c>
      <c r="F129" t="s">
        <v>111</v>
      </c>
      <c r="G129">
        <v>13</v>
      </c>
      <c r="H129">
        <v>-85</v>
      </c>
      <c r="I129" s="97">
        <v>16734</v>
      </c>
      <c r="J129" t="s">
        <v>142</v>
      </c>
      <c r="K129" t="s">
        <v>136</v>
      </c>
    </row>
    <row r="130" spans="1:11" x14ac:dyDescent="0.3">
      <c r="A130" t="s">
        <v>366</v>
      </c>
      <c r="B130" t="s">
        <v>367</v>
      </c>
      <c r="C130" t="s">
        <v>123</v>
      </c>
      <c r="D130" t="s">
        <v>134</v>
      </c>
      <c r="E130" t="s">
        <v>133</v>
      </c>
      <c r="F130" t="s">
        <v>111</v>
      </c>
      <c r="G130">
        <v>18</v>
      </c>
      <c r="H130">
        <v>9</v>
      </c>
      <c r="I130" s="97">
        <v>22179</v>
      </c>
      <c r="J130" t="s">
        <v>135</v>
      </c>
      <c r="K130" t="s">
        <v>113</v>
      </c>
    </row>
    <row r="131" spans="1:11" x14ac:dyDescent="0.3">
      <c r="A131" t="s">
        <v>368</v>
      </c>
      <c r="B131" t="s">
        <v>52</v>
      </c>
      <c r="C131" t="s">
        <v>123</v>
      </c>
      <c r="D131" t="s">
        <v>134</v>
      </c>
      <c r="E131" t="s">
        <v>133</v>
      </c>
      <c r="F131" t="s">
        <v>111</v>
      </c>
      <c r="G131">
        <v>10</v>
      </c>
      <c r="H131">
        <v>8</v>
      </c>
      <c r="I131" s="97">
        <v>22196</v>
      </c>
      <c r="J131" t="s">
        <v>135</v>
      </c>
      <c r="K131" t="s">
        <v>136</v>
      </c>
    </row>
    <row r="132" spans="1:11" x14ac:dyDescent="0.3">
      <c r="A132" t="s">
        <v>369</v>
      </c>
      <c r="B132" t="s">
        <v>19</v>
      </c>
      <c r="C132" t="s">
        <v>116</v>
      </c>
      <c r="D132" t="s">
        <v>118</v>
      </c>
      <c r="E132" t="s">
        <v>129</v>
      </c>
      <c r="F132" t="s">
        <v>149</v>
      </c>
      <c r="G132">
        <v>62</v>
      </c>
      <c r="H132">
        <v>10</v>
      </c>
      <c r="I132" s="97">
        <v>16768</v>
      </c>
      <c r="J132" t="s">
        <v>120</v>
      </c>
      <c r="K132" t="s">
        <v>130</v>
      </c>
    </row>
    <row r="133" spans="1:11" x14ac:dyDescent="0.3">
      <c r="A133" t="s">
        <v>370</v>
      </c>
      <c r="B133" t="s">
        <v>371</v>
      </c>
      <c r="C133" t="s">
        <v>108</v>
      </c>
      <c r="D133" t="s">
        <v>125</v>
      </c>
      <c r="E133" t="s">
        <v>109</v>
      </c>
      <c r="F133" t="s">
        <v>111</v>
      </c>
      <c r="G133">
        <v>21</v>
      </c>
      <c r="H133">
        <v>57</v>
      </c>
      <c r="I133" s="97">
        <v>26213</v>
      </c>
      <c r="J133" t="s">
        <v>126</v>
      </c>
      <c r="K133" t="s">
        <v>130</v>
      </c>
    </row>
    <row r="134" spans="1:11" x14ac:dyDescent="0.3">
      <c r="A134" t="s">
        <v>372</v>
      </c>
      <c r="B134" t="s">
        <v>373</v>
      </c>
      <c r="C134" t="s">
        <v>108</v>
      </c>
      <c r="D134" t="s">
        <v>110</v>
      </c>
      <c r="E134" t="s">
        <v>109</v>
      </c>
      <c r="F134" t="s">
        <v>111</v>
      </c>
      <c r="G134">
        <v>30</v>
      </c>
      <c r="H134">
        <v>70</v>
      </c>
      <c r="I134" s="97">
        <v>17440</v>
      </c>
      <c r="J134" t="s">
        <v>112</v>
      </c>
      <c r="K134" t="s">
        <v>136</v>
      </c>
    </row>
    <row r="135" spans="1:11" x14ac:dyDescent="0.3">
      <c r="A135" t="s">
        <v>374</v>
      </c>
      <c r="B135" t="s">
        <v>375</v>
      </c>
      <c r="C135" t="s">
        <v>108</v>
      </c>
      <c r="D135" t="s">
        <v>148</v>
      </c>
      <c r="E135" t="s">
        <v>148</v>
      </c>
      <c r="F135" t="s">
        <v>119</v>
      </c>
      <c r="G135">
        <v>7.5030000000000001</v>
      </c>
      <c r="H135">
        <v>134.62100000000001</v>
      </c>
      <c r="I135" s="97">
        <v>34683</v>
      </c>
      <c r="J135" t="s">
        <v>150</v>
      </c>
      <c r="K135" t="s">
        <v>130</v>
      </c>
    </row>
    <row r="136" spans="1:11" x14ac:dyDescent="0.3">
      <c r="A136" t="s">
        <v>376</v>
      </c>
      <c r="B136" t="s">
        <v>377</v>
      </c>
      <c r="C136" t="s">
        <v>139</v>
      </c>
      <c r="D136" t="s">
        <v>141</v>
      </c>
      <c r="E136" t="s">
        <v>140</v>
      </c>
      <c r="F136" t="s">
        <v>111</v>
      </c>
      <c r="G136">
        <v>8.9936000000000007</v>
      </c>
      <c r="H136">
        <v>-79.519729999999996</v>
      </c>
      <c r="I136" s="97">
        <v>16754</v>
      </c>
      <c r="J136" t="s">
        <v>142</v>
      </c>
      <c r="K136" t="s">
        <v>121</v>
      </c>
    </row>
    <row r="137" spans="1:11" x14ac:dyDescent="0.3">
      <c r="A137" t="s">
        <v>378</v>
      </c>
      <c r="B137" t="s">
        <v>379</v>
      </c>
      <c r="C137" t="s">
        <v>108</v>
      </c>
      <c r="D137" t="s">
        <v>148</v>
      </c>
      <c r="E137" t="s">
        <v>148</v>
      </c>
      <c r="F137" t="s">
        <v>111</v>
      </c>
      <c r="G137">
        <v>-6</v>
      </c>
      <c r="H137">
        <v>147</v>
      </c>
      <c r="I137" s="97">
        <v>27677</v>
      </c>
      <c r="J137" t="s">
        <v>150</v>
      </c>
      <c r="K137" t="s">
        <v>136</v>
      </c>
    </row>
    <row r="138" spans="1:11" x14ac:dyDescent="0.3">
      <c r="A138" t="s">
        <v>380</v>
      </c>
      <c r="B138" t="s">
        <v>381</v>
      </c>
      <c r="C138" t="s">
        <v>139</v>
      </c>
      <c r="D138" t="s">
        <v>141</v>
      </c>
      <c r="E138" t="s">
        <v>144</v>
      </c>
      <c r="F138" t="s">
        <v>111</v>
      </c>
      <c r="G138">
        <v>-23.33333</v>
      </c>
      <c r="H138">
        <v>-58</v>
      </c>
      <c r="I138" s="97">
        <v>16734</v>
      </c>
      <c r="J138" t="s">
        <v>142</v>
      </c>
      <c r="K138" t="s">
        <v>121</v>
      </c>
    </row>
    <row r="139" spans="1:11" x14ac:dyDescent="0.3">
      <c r="A139" t="s">
        <v>382</v>
      </c>
      <c r="B139" t="s">
        <v>383</v>
      </c>
      <c r="C139" t="s">
        <v>139</v>
      </c>
      <c r="D139" t="s">
        <v>141</v>
      </c>
      <c r="E139" t="s">
        <v>144</v>
      </c>
      <c r="F139" t="s">
        <v>111</v>
      </c>
      <c r="G139">
        <v>-10</v>
      </c>
      <c r="H139">
        <v>-75.25</v>
      </c>
      <c r="I139" s="97">
        <v>16741</v>
      </c>
      <c r="J139" t="s">
        <v>142</v>
      </c>
      <c r="K139" t="s">
        <v>121</v>
      </c>
    </row>
    <row r="140" spans="1:11" x14ac:dyDescent="0.3">
      <c r="A140" t="s">
        <v>384</v>
      </c>
      <c r="B140" t="s">
        <v>385</v>
      </c>
      <c r="C140" t="s">
        <v>108</v>
      </c>
      <c r="D140" t="s">
        <v>148</v>
      </c>
      <c r="E140" t="s">
        <v>148</v>
      </c>
      <c r="F140" t="s">
        <v>111</v>
      </c>
      <c r="G140">
        <v>13</v>
      </c>
      <c r="H140">
        <v>122</v>
      </c>
      <c r="I140" s="97">
        <v>16734</v>
      </c>
      <c r="J140" t="s">
        <v>150</v>
      </c>
      <c r="K140" t="s">
        <v>136</v>
      </c>
    </row>
    <row r="141" spans="1:11" x14ac:dyDescent="0.3">
      <c r="A141" t="s">
        <v>386</v>
      </c>
      <c r="B141" t="s">
        <v>13</v>
      </c>
      <c r="C141" t="s">
        <v>116</v>
      </c>
      <c r="D141" t="s">
        <v>118</v>
      </c>
      <c r="E141" t="s">
        <v>129</v>
      </c>
      <c r="F141" t="s">
        <v>149</v>
      </c>
      <c r="G141">
        <v>52</v>
      </c>
      <c r="H141">
        <v>20</v>
      </c>
      <c r="I141" s="97">
        <v>16734</v>
      </c>
      <c r="J141" t="s">
        <v>120</v>
      </c>
      <c r="K141" t="s">
        <v>130</v>
      </c>
    </row>
    <row r="142" spans="1:11" x14ac:dyDescent="0.3">
      <c r="A142" t="s">
        <v>387</v>
      </c>
      <c r="B142" t="s">
        <v>14</v>
      </c>
      <c r="C142" t="s">
        <v>116</v>
      </c>
      <c r="D142" t="s">
        <v>118</v>
      </c>
      <c r="E142" t="s">
        <v>129</v>
      </c>
      <c r="F142" t="s">
        <v>149</v>
      </c>
      <c r="G142">
        <v>39.694499999999998</v>
      </c>
      <c r="H142">
        <v>-8.1305700000000005</v>
      </c>
      <c r="I142" s="97">
        <v>20437</v>
      </c>
      <c r="J142" t="s">
        <v>120</v>
      </c>
      <c r="K142" t="s">
        <v>130</v>
      </c>
    </row>
    <row r="143" spans="1:11" x14ac:dyDescent="0.3">
      <c r="A143" t="s">
        <v>388</v>
      </c>
      <c r="B143" t="s">
        <v>389</v>
      </c>
      <c r="C143" t="s">
        <v>108</v>
      </c>
      <c r="D143" t="s">
        <v>125</v>
      </c>
      <c r="E143" t="s">
        <v>109</v>
      </c>
      <c r="F143" t="s">
        <v>111</v>
      </c>
      <c r="G143">
        <v>25.279319999999998</v>
      </c>
      <c r="H143">
        <v>51.522449999999999</v>
      </c>
      <c r="I143" s="97">
        <v>26197</v>
      </c>
      <c r="J143" t="s">
        <v>126</v>
      </c>
      <c r="K143" t="s">
        <v>130</v>
      </c>
    </row>
    <row r="144" spans="1:11" x14ac:dyDescent="0.3">
      <c r="A144" t="s">
        <v>390</v>
      </c>
      <c r="B144" t="s">
        <v>15</v>
      </c>
      <c r="C144" t="s">
        <v>116</v>
      </c>
      <c r="D144" t="s">
        <v>118</v>
      </c>
      <c r="E144" t="s">
        <v>117</v>
      </c>
      <c r="F144" t="s">
        <v>119</v>
      </c>
      <c r="G144">
        <v>46</v>
      </c>
      <c r="H144">
        <v>25</v>
      </c>
      <c r="I144" s="97">
        <v>20437</v>
      </c>
      <c r="J144" t="s">
        <v>120</v>
      </c>
      <c r="K144" t="s">
        <v>121</v>
      </c>
    </row>
    <row r="145" spans="1:11" x14ac:dyDescent="0.3">
      <c r="A145" t="s">
        <v>391</v>
      </c>
      <c r="B145" t="s">
        <v>23</v>
      </c>
      <c r="C145" t="s">
        <v>116</v>
      </c>
      <c r="D145" t="s">
        <v>118</v>
      </c>
      <c r="E145" t="s">
        <v>117</v>
      </c>
      <c r="F145" t="s">
        <v>119</v>
      </c>
      <c r="G145">
        <v>60</v>
      </c>
      <c r="H145">
        <v>100</v>
      </c>
      <c r="I145" s="97">
        <v>16734</v>
      </c>
      <c r="J145" t="s">
        <v>120</v>
      </c>
      <c r="K145" t="s">
        <v>121</v>
      </c>
    </row>
    <row r="146" spans="1:11" x14ac:dyDescent="0.3">
      <c r="A146" t="s">
        <v>392</v>
      </c>
      <c r="B146" t="s">
        <v>393</v>
      </c>
      <c r="C146" t="s">
        <v>123</v>
      </c>
      <c r="D146" t="s">
        <v>134</v>
      </c>
      <c r="E146" t="s">
        <v>133</v>
      </c>
      <c r="F146" t="s">
        <v>111</v>
      </c>
      <c r="G146">
        <v>-2</v>
      </c>
      <c r="H146">
        <v>30</v>
      </c>
      <c r="I146" s="97">
        <v>22907</v>
      </c>
      <c r="J146" t="s">
        <v>135</v>
      </c>
      <c r="K146" t="s">
        <v>113</v>
      </c>
    </row>
    <row r="147" spans="1:11" x14ac:dyDescent="0.3">
      <c r="A147" t="s">
        <v>394</v>
      </c>
      <c r="B147" t="s">
        <v>395</v>
      </c>
      <c r="C147" t="s">
        <v>139</v>
      </c>
      <c r="D147" t="s">
        <v>141</v>
      </c>
      <c r="E147" t="s">
        <v>140</v>
      </c>
      <c r="F147" t="s">
        <v>111</v>
      </c>
      <c r="G147">
        <v>17.33333</v>
      </c>
      <c r="H147">
        <v>-62.75</v>
      </c>
      <c r="I147" s="97">
        <v>30582</v>
      </c>
      <c r="J147" t="s">
        <v>142</v>
      </c>
      <c r="K147" t="s">
        <v>130</v>
      </c>
    </row>
    <row r="148" spans="1:11" x14ac:dyDescent="0.3">
      <c r="A148" t="s">
        <v>396</v>
      </c>
      <c r="B148" t="s">
        <v>397</v>
      </c>
      <c r="C148" t="s">
        <v>139</v>
      </c>
      <c r="D148" t="s">
        <v>141</v>
      </c>
      <c r="E148" t="s">
        <v>140</v>
      </c>
      <c r="F148" t="s">
        <v>111</v>
      </c>
      <c r="G148">
        <v>13.883330000000001</v>
      </c>
      <c r="H148">
        <v>-60.966670000000001</v>
      </c>
      <c r="I148" s="97">
        <v>29116</v>
      </c>
      <c r="J148" t="s">
        <v>142</v>
      </c>
      <c r="K148" t="s">
        <v>121</v>
      </c>
    </row>
    <row r="149" spans="1:11" x14ac:dyDescent="0.3">
      <c r="A149" t="s">
        <v>398</v>
      </c>
      <c r="B149" t="s">
        <v>399</v>
      </c>
      <c r="C149" t="s">
        <v>139</v>
      </c>
      <c r="D149" t="s">
        <v>141</v>
      </c>
      <c r="E149" t="s">
        <v>140</v>
      </c>
      <c r="F149" t="s">
        <v>111</v>
      </c>
      <c r="G149">
        <v>13.08333</v>
      </c>
      <c r="H149">
        <v>-61.2</v>
      </c>
      <c r="I149" s="97">
        <v>29480</v>
      </c>
      <c r="J149" t="s">
        <v>142</v>
      </c>
      <c r="K149" t="s">
        <v>121</v>
      </c>
    </row>
    <row r="150" spans="1:11" x14ac:dyDescent="0.3">
      <c r="A150" t="s">
        <v>400</v>
      </c>
      <c r="B150" t="s">
        <v>401</v>
      </c>
      <c r="C150" t="s">
        <v>108</v>
      </c>
      <c r="D150" t="s">
        <v>148</v>
      </c>
      <c r="E150" t="s">
        <v>148</v>
      </c>
      <c r="F150" t="s">
        <v>111</v>
      </c>
      <c r="G150">
        <v>-13.8</v>
      </c>
      <c r="H150">
        <v>-172.13333</v>
      </c>
      <c r="I150" s="97">
        <v>28109</v>
      </c>
      <c r="J150" t="s">
        <v>150</v>
      </c>
      <c r="K150" t="s">
        <v>121</v>
      </c>
    </row>
    <row r="151" spans="1:11" x14ac:dyDescent="0.3">
      <c r="A151" t="s">
        <v>402</v>
      </c>
      <c r="B151" t="s">
        <v>403</v>
      </c>
      <c r="C151" t="s">
        <v>116</v>
      </c>
      <c r="D151" t="s">
        <v>118</v>
      </c>
      <c r="E151" t="s">
        <v>129</v>
      </c>
      <c r="F151" t="s">
        <v>119</v>
      </c>
      <c r="G151">
        <v>43.936669999999999</v>
      </c>
      <c r="H151">
        <v>12.446389999999999</v>
      </c>
      <c r="I151" s="97">
        <v>33665</v>
      </c>
      <c r="J151" t="s">
        <v>120</v>
      </c>
      <c r="K151" t="s">
        <v>130</v>
      </c>
    </row>
    <row r="152" spans="1:11" x14ac:dyDescent="0.3">
      <c r="A152" t="s">
        <v>404</v>
      </c>
      <c r="B152" t="s">
        <v>405</v>
      </c>
      <c r="C152" t="s">
        <v>123</v>
      </c>
      <c r="D152" t="s">
        <v>134</v>
      </c>
      <c r="E152" t="s">
        <v>133</v>
      </c>
      <c r="F152" t="s">
        <v>111</v>
      </c>
      <c r="G152">
        <v>1</v>
      </c>
      <c r="H152">
        <v>7</v>
      </c>
      <c r="I152" s="97">
        <v>27653</v>
      </c>
      <c r="J152" t="s">
        <v>135</v>
      </c>
      <c r="K152" t="s">
        <v>136</v>
      </c>
    </row>
    <row r="153" spans="1:11" x14ac:dyDescent="0.3">
      <c r="A153" t="s">
        <v>406</v>
      </c>
      <c r="B153" t="s">
        <v>57</v>
      </c>
      <c r="C153" t="s">
        <v>108</v>
      </c>
      <c r="D153" t="s">
        <v>125</v>
      </c>
      <c r="E153" t="s">
        <v>109</v>
      </c>
      <c r="F153" t="s">
        <v>111</v>
      </c>
      <c r="G153">
        <v>25</v>
      </c>
      <c r="H153">
        <v>45</v>
      </c>
      <c r="I153" s="97">
        <v>16734</v>
      </c>
      <c r="J153" t="s">
        <v>126</v>
      </c>
      <c r="K153" t="s">
        <v>130</v>
      </c>
    </row>
    <row r="154" spans="1:11" x14ac:dyDescent="0.3">
      <c r="A154" t="s">
        <v>407</v>
      </c>
      <c r="B154" t="s">
        <v>408</v>
      </c>
      <c r="C154" t="s">
        <v>123</v>
      </c>
      <c r="D154" t="s">
        <v>134</v>
      </c>
      <c r="E154" t="s">
        <v>133</v>
      </c>
      <c r="F154" t="s">
        <v>111</v>
      </c>
      <c r="G154">
        <v>14.5</v>
      </c>
      <c r="H154">
        <v>-14.25</v>
      </c>
      <c r="I154" s="97">
        <v>22187</v>
      </c>
      <c r="J154" t="s">
        <v>135</v>
      </c>
      <c r="K154" t="s">
        <v>113</v>
      </c>
    </row>
    <row r="155" spans="1:11" x14ac:dyDescent="0.3">
      <c r="A155" t="s">
        <v>409</v>
      </c>
      <c r="B155" t="s">
        <v>410</v>
      </c>
      <c r="C155" t="s">
        <v>116</v>
      </c>
      <c r="D155" t="s">
        <v>118</v>
      </c>
      <c r="E155" t="s">
        <v>117</v>
      </c>
      <c r="F155" t="s">
        <v>119</v>
      </c>
      <c r="G155">
        <v>44.818919999999999</v>
      </c>
      <c r="H155">
        <v>20.459980000000002</v>
      </c>
      <c r="I155" s="97">
        <v>36831</v>
      </c>
      <c r="J155" t="s">
        <v>120</v>
      </c>
      <c r="K155" t="s">
        <v>121</v>
      </c>
    </row>
    <row r="156" spans="1:11" x14ac:dyDescent="0.3">
      <c r="A156" t="s">
        <v>411</v>
      </c>
      <c r="B156" t="s">
        <v>412</v>
      </c>
      <c r="C156" t="s">
        <v>123</v>
      </c>
      <c r="D156" t="s">
        <v>134</v>
      </c>
      <c r="E156" t="s">
        <v>133</v>
      </c>
      <c r="F156" t="s">
        <v>111</v>
      </c>
      <c r="G156">
        <v>-4.5833300000000001</v>
      </c>
      <c r="H156">
        <v>55.666670000000003</v>
      </c>
      <c r="I156" s="97">
        <v>28024</v>
      </c>
      <c r="J156" t="s">
        <v>135</v>
      </c>
      <c r="K156" t="s">
        <v>130</v>
      </c>
    </row>
    <row r="157" spans="1:11" x14ac:dyDescent="0.3">
      <c r="A157" t="s">
        <v>413</v>
      </c>
      <c r="B157" t="s">
        <v>414</v>
      </c>
      <c r="C157" t="s">
        <v>123</v>
      </c>
      <c r="D157" t="s">
        <v>134</v>
      </c>
      <c r="E157" t="s">
        <v>133</v>
      </c>
      <c r="F157" t="s">
        <v>111</v>
      </c>
      <c r="G157">
        <v>8.5</v>
      </c>
      <c r="H157">
        <v>-11.5</v>
      </c>
      <c r="I157" s="97">
        <v>22551</v>
      </c>
      <c r="J157" t="s">
        <v>135</v>
      </c>
      <c r="K157" t="s">
        <v>113</v>
      </c>
    </row>
    <row r="158" spans="1:11" x14ac:dyDescent="0.3">
      <c r="A158" t="s">
        <v>415</v>
      </c>
      <c r="B158" t="s">
        <v>416</v>
      </c>
      <c r="C158" t="s">
        <v>108</v>
      </c>
      <c r="D158" t="s">
        <v>148</v>
      </c>
      <c r="E158" t="s">
        <v>148</v>
      </c>
      <c r="F158" t="s">
        <v>111</v>
      </c>
      <c r="G158">
        <v>1.2896700000000001</v>
      </c>
      <c r="H158">
        <v>103.85007</v>
      </c>
      <c r="I158" s="97">
        <v>24006</v>
      </c>
      <c r="J158" t="s">
        <v>150</v>
      </c>
      <c r="K158" t="s">
        <v>130</v>
      </c>
    </row>
    <row r="159" spans="1:11" x14ac:dyDescent="0.3">
      <c r="A159" t="s">
        <v>417</v>
      </c>
      <c r="B159" t="s">
        <v>418</v>
      </c>
      <c r="C159" t="s">
        <v>116</v>
      </c>
      <c r="D159" t="s">
        <v>118</v>
      </c>
      <c r="E159" t="s">
        <v>117</v>
      </c>
      <c r="F159" t="s">
        <v>149</v>
      </c>
      <c r="G159">
        <v>48.666670000000003</v>
      </c>
      <c r="H159">
        <v>19.5</v>
      </c>
      <c r="I159" s="97">
        <v>33988</v>
      </c>
      <c r="J159" t="s">
        <v>120</v>
      </c>
      <c r="K159" t="s">
        <v>130</v>
      </c>
    </row>
    <row r="160" spans="1:11" x14ac:dyDescent="0.3">
      <c r="A160" t="s">
        <v>419</v>
      </c>
      <c r="B160" t="s">
        <v>420</v>
      </c>
      <c r="C160" t="s">
        <v>116</v>
      </c>
      <c r="D160" t="s">
        <v>118</v>
      </c>
      <c r="E160" t="s">
        <v>117</v>
      </c>
      <c r="F160" t="s">
        <v>119</v>
      </c>
      <c r="G160">
        <v>46.083329999999997</v>
      </c>
      <c r="H160">
        <v>15</v>
      </c>
      <c r="I160" s="97">
        <v>33746</v>
      </c>
      <c r="J160" t="s">
        <v>120</v>
      </c>
      <c r="K160" t="s">
        <v>130</v>
      </c>
    </row>
    <row r="161" spans="1:11" x14ac:dyDescent="0.3">
      <c r="A161" t="s">
        <v>421</v>
      </c>
      <c r="B161" t="s">
        <v>422</v>
      </c>
      <c r="C161" t="s">
        <v>108</v>
      </c>
      <c r="D161" t="s">
        <v>148</v>
      </c>
      <c r="E161" t="s">
        <v>148</v>
      </c>
      <c r="F161" t="s">
        <v>111</v>
      </c>
      <c r="G161">
        <v>-8</v>
      </c>
      <c r="H161">
        <v>159</v>
      </c>
      <c r="I161" s="97">
        <v>28752</v>
      </c>
      <c r="J161" t="s">
        <v>150</v>
      </c>
      <c r="K161" t="s">
        <v>136</v>
      </c>
    </row>
    <row r="162" spans="1:11" x14ac:dyDescent="0.3">
      <c r="A162" t="s">
        <v>423</v>
      </c>
      <c r="B162" t="s">
        <v>424</v>
      </c>
      <c r="C162" t="s">
        <v>123</v>
      </c>
      <c r="D162" t="s">
        <v>134</v>
      </c>
      <c r="E162" t="s">
        <v>133</v>
      </c>
      <c r="F162" t="s">
        <v>111</v>
      </c>
      <c r="G162">
        <v>6</v>
      </c>
      <c r="H162">
        <v>48</v>
      </c>
      <c r="I162" s="97">
        <v>22179</v>
      </c>
      <c r="J162" t="s">
        <v>135</v>
      </c>
      <c r="K162" t="s">
        <v>113</v>
      </c>
    </row>
    <row r="163" spans="1:11" x14ac:dyDescent="0.3">
      <c r="A163" t="s">
        <v>425</v>
      </c>
      <c r="B163" t="s">
        <v>53</v>
      </c>
      <c r="C163" t="s">
        <v>123</v>
      </c>
      <c r="D163" t="s">
        <v>134</v>
      </c>
      <c r="E163" t="s">
        <v>133</v>
      </c>
      <c r="F163" t="s">
        <v>111</v>
      </c>
      <c r="G163">
        <v>-29</v>
      </c>
      <c r="H163">
        <v>24</v>
      </c>
      <c r="I163" s="97">
        <v>16748</v>
      </c>
      <c r="J163" t="s">
        <v>135</v>
      </c>
      <c r="K163" t="s">
        <v>121</v>
      </c>
    </row>
    <row r="164" spans="1:11" x14ac:dyDescent="0.3">
      <c r="A164" t="s">
        <v>426</v>
      </c>
      <c r="B164" t="s">
        <v>16</v>
      </c>
      <c r="C164" t="s">
        <v>116</v>
      </c>
      <c r="D164" t="s">
        <v>118</v>
      </c>
      <c r="E164" t="s">
        <v>129</v>
      </c>
      <c r="F164" t="s">
        <v>149</v>
      </c>
      <c r="G164">
        <v>40</v>
      </c>
      <c r="H164">
        <v>-4</v>
      </c>
      <c r="I164" s="97">
        <v>20437</v>
      </c>
      <c r="J164" t="s">
        <v>120</v>
      </c>
      <c r="K164" t="s">
        <v>130</v>
      </c>
    </row>
    <row r="165" spans="1:11" x14ac:dyDescent="0.3">
      <c r="A165" t="s">
        <v>427</v>
      </c>
      <c r="B165" t="s">
        <v>428</v>
      </c>
      <c r="C165" t="s">
        <v>108</v>
      </c>
      <c r="D165" t="s">
        <v>110</v>
      </c>
      <c r="E165" t="s">
        <v>109</v>
      </c>
      <c r="F165" t="s">
        <v>111</v>
      </c>
      <c r="G165">
        <v>7.75</v>
      </c>
      <c r="H165">
        <v>80.75</v>
      </c>
      <c r="I165" s="97">
        <v>20437</v>
      </c>
      <c r="J165" t="s">
        <v>112</v>
      </c>
      <c r="K165" t="s">
        <v>136</v>
      </c>
    </row>
    <row r="166" spans="1:11" x14ac:dyDescent="0.3">
      <c r="A166" t="s">
        <v>429</v>
      </c>
      <c r="B166" t="s">
        <v>430</v>
      </c>
      <c r="C166" t="s">
        <v>123</v>
      </c>
      <c r="D166" t="s">
        <v>134</v>
      </c>
      <c r="E166" t="s">
        <v>133</v>
      </c>
      <c r="F166" t="s">
        <v>111</v>
      </c>
      <c r="G166">
        <v>16</v>
      </c>
      <c r="H166">
        <v>30</v>
      </c>
      <c r="I166" s="97">
        <v>20771</v>
      </c>
      <c r="J166" t="s">
        <v>135</v>
      </c>
      <c r="K166" t="s">
        <v>136</v>
      </c>
    </row>
    <row r="167" spans="1:11" x14ac:dyDescent="0.3">
      <c r="A167" t="s">
        <v>431</v>
      </c>
      <c r="B167" t="s">
        <v>432</v>
      </c>
      <c r="C167" t="s">
        <v>139</v>
      </c>
      <c r="D167" t="s">
        <v>141</v>
      </c>
      <c r="E167" t="s">
        <v>144</v>
      </c>
      <c r="F167" t="s">
        <v>111</v>
      </c>
      <c r="G167">
        <v>4</v>
      </c>
      <c r="H167">
        <v>-56</v>
      </c>
      <c r="I167" s="97">
        <v>27732</v>
      </c>
      <c r="J167" t="s">
        <v>142</v>
      </c>
      <c r="K167" t="s">
        <v>121</v>
      </c>
    </row>
    <row r="168" spans="1:11" x14ac:dyDescent="0.3">
      <c r="A168" t="s">
        <v>433</v>
      </c>
      <c r="B168" t="s">
        <v>434</v>
      </c>
      <c r="C168" t="s">
        <v>123</v>
      </c>
      <c r="D168" t="s">
        <v>134</v>
      </c>
      <c r="E168" t="s">
        <v>133</v>
      </c>
      <c r="F168" t="s">
        <v>111</v>
      </c>
      <c r="G168">
        <v>-26.5</v>
      </c>
      <c r="H168">
        <v>31.5</v>
      </c>
      <c r="I168" s="97">
        <v>25105</v>
      </c>
      <c r="J168" t="s">
        <v>135</v>
      </c>
      <c r="K168" t="s">
        <v>136</v>
      </c>
    </row>
    <row r="169" spans="1:11" x14ac:dyDescent="0.3">
      <c r="A169" t="s">
        <v>435</v>
      </c>
      <c r="B169" t="s">
        <v>17</v>
      </c>
      <c r="C169" t="s">
        <v>116</v>
      </c>
      <c r="D169" t="s">
        <v>118</v>
      </c>
      <c r="E169" t="s">
        <v>129</v>
      </c>
      <c r="F169" t="s">
        <v>149</v>
      </c>
      <c r="G169">
        <v>62</v>
      </c>
      <c r="H169">
        <v>15</v>
      </c>
      <c r="I169" s="97">
        <v>17125</v>
      </c>
      <c r="J169" t="s">
        <v>120</v>
      </c>
      <c r="K169" t="s">
        <v>130</v>
      </c>
    </row>
    <row r="170" spans="1:11" x14ac:dyDescent="0.3">
      <c r="A170" t="s">
        <v>436</v>
      </c>
      <c r="B170" t="s">
        <v>437</v>
      </c>
      <c r="C170" t="s">
        <v>116</v>
      </c>
      <c r="D170" t="s">
        <v>118</v>
      </c>
      <c r="E170" t="s">
        <v>129</v>
      </c>
      <c r="F170" t="s">
        <v>149</v>
      </c>
      <c r="G170">
        <v>47.000160000000001</v>
      </c>
      <c r="H170">
        <v>8.0142699999999998</v>
      </c>
      <c r="I170" s="97">
        <v>37509</v>
      </c>
      <c r="J170" t="s">
        <v>120</v>
      </c>
      <c r="K170" t="s">
        <v>130</v>
      </c>
    </row>
    <row r="171" spans="1:11" x14ac:dyDescent="0.3">
      <c r="A171" t="s">
        <v>438</v>
      </c>
      <c r="B171" t="s">
        <v>439</v>
      </c>
      <c r="C171" t="s">
        <v>108</v>
      </c>
      <c r="D171" t="s">
        <v>125</v>
      </c>
      <c r="E171" t="s">
        <v>109</v>
      </c>
      <c r="F171" t="s">
        <v>111</v>
      </c>
      <c r="G171">
        <v>35</v>
      </c>
      <c r="H171">
        <v>38</v>
      </c>
      <c r="I171" s="97">
        <v>16734</v>
      </c>
      <c r="J171" t="s">
        <v>126</v>
      </c>
      <c r="K171" t="s">
        <v>136</v>
      </c>
    </row>
    <row r="172" spans="1:11" x14ac:dyDescent="0.3">
      <c r="A172" t="s">
        <v>440</v>
      </c>
      <c r="B172" t="s">
        <v>44</v>
      </c>
      <c r="C172" t="s">
        <v>108</v>
      </c>
      <c r="D172" t="s">
        <v>148</v>
      </c>
      <c r="E172" t="s">
        <v>148</v>
      </c>
      <c r="F172" t="s">
        <v>119</v>
      </c>
      <c r="G172">
        <v>24</v>
      </c>
      <c r="H172">
        <v>121</v>
      </c>
      <c r="J172" t="s">
        <v>150</v>
      </c>
      <c r="K172" t="s">
        <v>130</v>
      </c>
    </row>
    <row r="173" spans="1:11" x14ac:dyDescent="0.3">
      <c r="A173" t="s">
        <v>441</v>
      </c>
      <c r="B173" t="s">
        <v>442</v>
      </c>
      <c r="C173" t="s">
        <v>108</v>
      </c>
      <c r="D173" t="s">
        <v>118</v>
      </c>
      <c r="E173" t="s">
        <v>109</v>
      </c>
      <c r="F173" t="s">
        <v>119</v>
      </c>
      <c r="G173">
        <v>39</v>
      </c>
      <c r="H173">
        <v>71</v>
      </c>
      <c r="I173" s="97">
        <v>33665</v>
      </c>
      <c r="J173" t="s">
        <v>120</v>
      </c>
      <c r="K173" t="s">
        <v>136</v>
      </c>
    </row>
    <row r="174" spans="1:11" x14ac:dyDescent="0.3">
      <c r="A174" t="s">
        <v>443</v>
      </c>
      <c r="B174" t="s">
        <v>444</v>
      </c>
      <c r="C174" t="s">
        <v>123</v>
      </c>
      <c r="D174" t="s">
        <v>134</v>
      </c>
      <c r="E174" t="s">
        <v>133</v>
      </c>
      <c r="F174" t="s">
        <v>111</v>
      </c>
      <c r="G174">
        <v>-6</v>
      </c>
      <c r="H174">
        <v>35</v>
      </c>
      <c r="I174" s="97">
        <v>22629</v>
      </c>
      <c r="J174" t="s">
        <v>135</v>
      </c>
      <c r="K174" t="s">
        <v>113</v>
      </c>
    </row>
    <row r="175" spans="1:11" x14ac:dyDescent="0.3">
      <c r="A175" t="s">
        <v>445</v>
      </c>
      <c r="B175" t="s">
        <v>45</v>
      </c>
      <c r="C175" t="s">
        <v>108</v>
      </c>
      <c r="D175" t="s">
        <v>148</v>
      </c>
      <c r="E175" t="s">
        <v>148</v>
      </c>
      <c r="F175" t="s">
        <v>111</v>
      </c>
      <c r="G175">
        <v>15.5</v>
      </c>
      <c r="H175">
        <v>101</v>
      </c>
      <c r="I175" s="97">
        <v>17152</v>
      </c>
      <c r="J175" t="s">
        <v>150</v>
      </c>
      <c r="K175" t="s">
        <v>121</v>
      </c>
    </row>
    <row r="176" spans="1:11" x14ac:dyDescent="0.3">
      <c r="A176" t="s">
        <v>446</v>
      </c>
      <c r="B176" t="s">
        <v>447</v>
      </c>
      <c r="C176" t="s">
        <v>108</v>
      </c>
      <c r="D176" t="s">
        <v>148</v>
      </c>
      <c r="E176" t="s">
        <v>148</v>
      </c>
      <c r="F176" t="s">
        <v>111</v>
      </c>
      <c r="G176">
        <v>-8.8333300000000001</v>
      </c>
      <c r="H176">
        <v>125.75</v>
      </c>
      <c r="I176" s="97">
        <v>37526</v>
      </c>
      <c r="J176" t="s">
        <v>150</v>
      </c>
      <c r="K176" t="s">
        <v>136</v>
      </c>
    </row>
    <row r="177" spans="1:11" x14ac:dyDescent="0.3">
      <c r="A177" t="s">
        <v>448</v>
      </c>
      <c r="B177" t="s">
        <v>449</v>
      </c>
      <c r="C177" t="s">
        <v>123</v>
      </c>
      <c r="D177" t="s">
        <v>134</v>
      </c>
      <c r="E177" t="s">
        <v>133</v>
      </c>
      <c r="F177" t="s">
        <v>111</v>
      </c>
      <c r="G177">
        <v>8.6666699999999999</v>
      </c>
      <c r="H177">
        <v>1.0833299999999999</v>
      </c>
      <c r="I177" s="97">
        <v>22179</v>
      </c>
      <c r="J177" t="s">
        <v>135</v>
      </c>
      <c r="K177" t="s">
        <v>113</v>
      </c>
    </row>
    <row r="178" spans="1:11" x14ac:dyDescent="0.3">
      <c r="A178" t="s">
        <v>450</v>
      </c>
      <c r="B178" t="s">
        <v>451</v>
      </c>
      <c r="C178" t="s">
        <v>108</v>
      </c>
      <c r="D178" t="s">
        <v>148</v>
      </c>
      <c r="E178" t="s">
        <v>148</v>
      </c>
      <c r="F178" t="s">
        <v>111</v>
      </c>
      <c r="G178">
        <v>-20</v>
      </c>
      <c r="H178">
        <v>-175</v>
      </c>
      <c r="I178" s="97">
        <v>36417</v>
      </c>
      <c r="J178" t="s">
        <v>150</v>
      </c>
      <c r="K178" t="s">
        <v>121</v>
      </c>
    </row>
    <row r="179" spans="1:11" x14ac:dyDescent="0.3">
      <c r="A179" t="s">
        <v>452</v>
      </c>
      <c r="B179" t="s">
        <v>453</v>
      </c>
      <c r="C179" t="s">
        <v>139</v>
      </c>
      <c r="D179" t="s">
        <v>141</v>
      </c>
      <c r="E179" t="s">
        <v>140</v>
      </c>
      <c r="F179" t="s">
        <v>111</v>
      </c>
      <c r="G179">
        <v>11</v>
      </c>
      <c r="H179">
        <v>-61</v>
      </c>
      <c r="I179" s="97">
        <v>22907</v>
      </c>
      <c r="J179" t="s">
        <v>142</v>
      </c>
      <c r="K179" t="s">
        <v>130</v>
      </c>
    </row>
    <row r="180" spans="1:11" x14ac:dyDescent="0.3">
      <c r="A180" t="s">
        <v>454</v>
      </c>
      <c r="B180" t="s">
        <v>455</v>
      </c>
      <c r="C180" t="s">
        <v>123</v>
      </c>
      <c r="D180" t="s">
        <v>125</v>
      </c>
      <c r="E180" t="s">
        <v>124</v>
      </c>
      <c r="F180" t="s">
        <v>111</v>
      </c>
      <c r="G180">
        <v>34</v>
      </c>
      <c r="H180">
        <v>9</v>
      </c>
      <c r="I180" s="97">
        <v>20771</v>
      </c>
      <c r="J180" t="s">
        <v>126</v>
      </c>
      <c r="K180" t="s">
        <v>136</v>
      </c>
    </row>
    <row r="181" spans="1:11" x14ac:dyDescent="0.3">
      <c r="A181" t="s">
        <v>456</v>
      </c>
      <c r="B181" t="s">
        <v>20</v>
      </c>
      <c r="C181" t="s">
        <v>116</v>
      </c>
      <c r="D181" t="s">
        <v>118</v>
      </c>
      <c r="E181" t="s">
        <v>117</v>
      </c>
      <c r="F181" t="s">
        <v>149</v>
      </c>
      <c r="G181">
        <v>39</v>
      </c>
      <c r="H181">
        <v>35</v>
      </c>
      <c r="I181" s="97">
        <v>16734</v>
      </c>
      <c r="J181" t="s">
        <v>120</v>
      </c>
      <c r="K181" t="s">
        <v>121</v>
      </c>
    </row>
    <row r="182" spans="1:11" x14ac:dyDescent="0.3">
      <c r="A182" t="s">
        <v>457</v>
      </c>
      <c r="B182" t="s">
        <v>458</v>
      </c>
      <c r="C182" t="s">
        <v>108</v>
      </c>
      <c r="D182" t="s">
        <v>118</v>
      </c>
      <c r="E182" t="s">
        <v>109</v>
      </c>
      <c r="F182" t="s">
        <v>111</v>
      </c>
      <c r="G182">
        <v>39.75</v>
      </c>
      <c r="H182">
        <v>59.666670000000003</v>
      </c>
      <c r="I182" s="97">
        <v>33665</v>
      </c>
      <c r="J182" t="s">
        <v>120</v>
      </c>
      <c r="K182" t="s">
        <v>121</v>
      </c>
    </row>
    <row r="183" spans="1:11" x14ac:dyDescent="0.3">
      <c r="A183" t="s">
        <v>459</v>
      </c>
      <c r="B183" t="s">
        <v>460</v>
      </c>
      <c r="C183" t="s">
        <v>108</v>
      </c>
      <c r="D183" t="s">
        <v>148</v>
      </c>
      <c r="E183" t="s">
        <v>148</v>
      </c>
      <c r="F183" t="s">
        <v>119</v>
      </c>
      <c r="G183">
        <v>-8.5171899999999994</v>
      </c>
      <c r="H183">
        <v>179.14478</v>
      </c>
      <c r="I183" s="97">
        <v>36774</v>
      </c>
      <c r="J183" t="s">
        <v>150</v>
      </c>
      <c r="K183" t="s">
        <v>121</v>
      </c>
    </row>
    <row r="184" spans="1:11" x14ac:dyDescent="0.3">
      <c r="A184" t="s">
        <v>461</v>
      </c>
      <c r="B184" t="s">
        <v>462</v>
      </c>
      <c r="C184" t="s">
        <v>123</v>
      </c>
      <c r="D184" t="s">
        <v>134</v>
      </c>
      <c r="E184" t="s">
        <v>133</v>
      </c>
      <c r="F184" t="s">
        <v>111</v>
      </c>
      <c r="G184">
        <v>1.25</v>
      </c>
      <c r="H184">
        <v>32.5</v>
      </c>
      <c r="I184" s="97">
        <v>22944</v>
      </c>
      <c r="J184" t="s">
        <v>135</v>
      </c>
      <c r="K184" t="s">
        <v>113</v>
      </c>
    </row>
    <row r="185" spans="1:11" x14ac:dyDescent="0.3">
      <c r="A185" t="s">
        <v>463</v>
      </c>
      <c r="B185" t="s">
        <v>24</v>
      </c>
      <c r="C185" t="s">
        <v>116</v>
      </c>
      <c r="D185" t="s">
        <v>118</v>
      </c>
      <c r="E185" t="s">
        <v>117</v>
      </c>
      <c r="F185" t="s">
        <v>119</v>
      </c>
      <c r="G185">
        <v>49</v>
      </c>
      <c r="H185">
        <v>32</v>
      </c>
      <c r="I185" s="97">
        <v>16734</v>
      </c>
      <c r="J185" t="s">
        <v>120</v>
      </c>
      <c r="K185" t="s">
        <v>136</v>
      </c>
    </row>
    <row r="186" spans="1:11" x14ac:dyDescent="0.3">
      <c r="A186" t="s">
        <v>464</v>
      </c>
      <c r="B186" t="s">
        <v>58</v>
      </c>
      <c r="C186" t="s">
        <v>108</v>
      </c>
      <c r="D186" t="s">
        <v>125</v>
      </c>
      <c r="E186" t="s">
        <v>109</v>
      </c>
      <c r="F186" t="s">
        <v>111</v>
      </c>
      <c r="G186">
        <v>23.75</v>
      </c>
      <c r="H186">
        <v>54.5</v>
      </c>
      <c r="I186" s="97">
        <v>26276</v>
      </c>
      <c r="J186" t="s">
        <v>126</v>
      </c>
      <c r="K186" t="s">
        <v>130</v>
      </c>
    </row>
    <row r="187" spans="1:11" x14ac:dyDescent="0.3">
      <c r="A187" t="s">
        <v>465</v>
      </c>
      <c r="B187" t="s">
        <v>18</v>
      </c>
      <c r="C187" t="s">
        <v>116</v>
      </c>
      <c r="D187" t="s">
        <v>118</v>
      </c>
      <c r="E187" t="s">
        <v>129</v>
      </c>
      <c r="F187" t="s">
        <v>149</v>
      </c>
      <c r="G187">
        <v>54.75844</v>
      </c>
      <c r="H187">
        <v>-2.6953100000000001</v>
      </c>
      <c r="I187" s="97">
        <v>16734</v>
      </c>
      <c r="J187" t="s">
        <v>120</v>
      </c>
      <c r="K187" t="s">
        <v>130</v>
      </c>
    </row>
    <row r="188" spans="1:11" x14ac:dyDescent="0.3">
      <c r="A188" t="s">
        <v>466</v>
      </c>
      <c r="B188" t="s">
        <v>29</v>
      </c>
      <c r="C188" t="s">
        <v>139</v>
      </c>
      <c r="D188" t="s">
        <v>141</v>
      </c>
      <c r="E188" t="s">
        <v>140</v>
      </c>
      <c r="F188" t="s">
        <v>149</v>
      </c>
      <c r="G188">
        <v>39.76</v>
      </c>
      <c r="H188">
        <v>-98.5</v>
      </c>
      <c r="I188" s="97">
        <v>16734</v>
      </c>
      <c r="J188" t="s">
        <v>27</v>
      </c>
      <c r="K188" t="s">
        <v>130</v>
      </c>
    </row>
    <row r="189" spans="1:11" x14ac:dyDescent="0.3">
      <c r="A189" t="s">
        <v>467</v>
      </c>
      <c r="B189" t="s">
        <v>468</v>
      </c>
      <c r="C189" t="s">
        <v>139</v>
      </c>
      <c r="D189" t="s">
        <v>141</v>
      </c>
      <c r="E189" t="s">
        <v>144</v>
      </c>
      <c r="F189" t="s">
        <v>111</v>
      </c>
      <c r="G189">
        <v>-33</v>
      </c>
      <c r="H189">
        <v>-56</v>
      </c>
      <c r="I189" s="97">
        <v>16789</v>
      </c>
      <c r="J189" t="s">
        <v>142</v>
      </c>
      <c r="K189" t="s">
        <v>130</v>
      </c>
    </row>
    <row r="190" spans="1:11" x14ac:dyDescent="0.3">
      <c r="A190" t="s">
        <v>469</v>
      </c>
      <c r="B190" t="s">
        <v>25</v>
      </c>
      <c r="C190" t="s">
        <v>108</v>
      </c>
      <c r="D190" t="s">
        <v>118</v>
      </c>
      <c r="E190" t="s">
        <v>109</v>
      </c>
      <c r="F190" t="s">
        <v>119</v>
      </c>
      <c r="G190">
        <v>41.666670000000003</v>
      </c>
      <c r="H190">
        <v>63.833329999999997</v>
      </c>
      <c r="I190" s="97">
        <v>33665</v>
      </c>
      <c r="J190" t="s">
        <v>120</v>
      </c>
      <c r="K190" t="s">
        <v>136</v>
      </c>
    </row>
    <row r="191" spans="1:11" x14ac:dyDescent="0.3">
      <c r="A191" t="s">
        <v>470</v>
      </c>
      <c r="B191" t="s">
        <v>471</v>
      </c>
      <c r="C191" t="s">
        <v>108</v>
      </c>
      <c r="D191" t="s">
        <v>148</v>
      </c>
      <c r="E191" t="s">
        <v>148</v>
      </c>
      <c r="F191" t="s">
        <v>111</v>
      </c>
      <c r="G191">
        <v>-16</v>
      </c>
      <c r="H191">
        <v>167</v>
      </c>
      <c r="I191" s="97">
        <v>29844</v>
      </c>
      <c r="J191" t="s">
        <v>150</v>
      </c>
      <c r="K191" t="s">
        <v>136</v>
      </c>
    </row>
    <row r="192" spans="1:11" x14ac:dyDescent="0.3">
      <c r="A192" t="s">
        <v>472</v>
      </c>
      <c r="B192" t="s">
        <v>36</v>
      </c>
      <c r="C192" t="s">
        <v>139</v>
      </c>
      <c r="D192" t="s">
        <v>141</v>
      </c>
      <c r="E192" t="s">
        <v>144</v>
      </c>
      <c r="F192" t="s">
        <v>111</v>
      </c>
      <c r="G192">
        <v>8</v>
      </c>
      <c r="H192">
        <v>-66</v>
      </c>
      <c r="I192" s="97">
        <v>16756</v>
      </c>
      <c r="J192" t="s">
        <v>142</v>
      </c>
      <c r="K192" t="s">
        <v>121</v>
      </c>
    </row>
    <row r="193" spans="1:11" x14ac:dyDescent="0.3">
      <c r="A193" t="s">
        <v>473</v>
      </c>
      <c r="B193" t="s">
        <v>474</v>
      </c>
      <c r="C193" t="s">
        <v>108</v>
      </c>
      <c r="D193" t="s">
        <v>125</v>
      </c>
      <c r="E193" t="s">
        <v>109</v>
      </c>
      <c r="F193" t="s">
        <v>111</v>
      </c>
      <c r="G193">
        <v>31.921569999999999</v>
      </c>
      <c r="H193">
        <v>35.203290000000003</v>
      </c>
      <c r="J193" t="s">
        <v>126</v>
      </c>
      <c r="K193" t="s">
        <v>136</v>
      </c>
    </row>
    <row r="194" spans="1:11" x14ac:dyDescent="0.3">
      <c r="A194" t="s">
        <v>475</v>
      </c>
      <c r="B194" t="s">
        <v>476</v>
      </c>
      <c r="C194" t="s">
        <v>108</v>
      </c>
      <c r="D194" t="s">
        <v>148</v>
      </c>
      <c r="E194" t="s">
        <v>148</v>
      </c>
      <c r="F194" t="s">
        <v>111</v>
      </c>
      <c r="G194">
        <v>16.16667</v>
      </c>
      <c r="H194">
        <v>107.83333</v>
      </c>
      <c r="I194" s="97">
        <v>28388</v>
      </c>
      <c r="J194" t="s">
        <v>150</v>
      </c>
      <c r="K194" t="s">
        <v>136</v>
      </c>
    </row>
    <row r="195" spans="1:11" x14ac:dyDescent="0.3">
      <c r="A195" t="s">
        <v>477</v>
      </c>
      <c r="B195" t="s">
        <v>478</v>
      </c>
      <c r="C195" t="s">
        <v>108</v>
      </c>
      <c r="D195" t="s">
        <v>125</v>
      </c>
      <c r="E195" t="s">
        <v>109</v>
      </c>
      <c r="F195" t="s">
        <v>111</v>
      </c>
      <c r="G195">
        <v>15.5</v>
      </c>
      <c r="H195">
        <v>47.5</v>
      </c>
      <c r="I195" s="97">
        <v>17440</v>
      </c>
      <c r="J195" t="s">
        <v>126</v>
      </c>
      <c r="K195" t="s">
        <v>136</v>
      </c>
    </row>
    <row r="196" spans="1:11" x14ac:dyDescent="0.3">
      <c r="A196" t="s">
        <v>479</v>
      </c>
      <c r="B196" t="s">
        <v>480</v>
      </c>
      <c r="C196" t="s">
        <v>123</v>
      </c>
      <c r="D196" t="s">
        <v>134</v>
      </c>
      <c r="E196" t="s">
        <v>133</v>
      </c>
      <c r="F196" t="s">
        <v>111</v>
      </c>
      <c r="G196">
        <v>-14.33333</v>
      </c>
      <c r="H196">
        <v>28.5</v>
      </c>
      <c r="I196" s="97">
        <v>23712</v>
      </c>
      <c r="J196" t="s">
        <v>135</v>
      </c>
      <c r="K196" t="s">
        <v>136</v>
      </c>
    </row>
    <row r="197" spans="1:11" x14ac:dyDescent="0.3">
      <c r="A197" t="s">
        <v>481</v>
      </c>
      <c r="B197" t="s">
        <v>482</v>
      </c>
      <c r="C197" t="s">
        <v>123</v>
      </c>
      <c r="D197" t="s">
        <v>134</v>
      </c>
      <c r="E197" t="s">
        <v>133</v>
      </c>
      <c r="F197" t="s">
        <v>111</v>
      </c>
      <c r="G197">
        <v>-19</v>
      </c>
      <c r="H197">
        <v>29.75</v>
      </c>
      <c r="I197" s="97">
        <v>29458</v>
      </c>
      <c r="J197" t="s">
        <v>135</v>
      </c>
      <c r="K197" t="s">
        <v>113</v>
      </c>
    </row>
    <row r="198" spans="1:11" x14ac:dyDescent="0.3">
      <c r="A198" t="s">
        <v>483</v>
      </c>
      <c r="B198" t="s">
        <v>484</v>
      </c>
      <c r="C198" t="s">
        <v>123</v>
      </c>
      <c r="D198" t="s">
        <v>134</v>
      </c>
      <c r="E198" t="s">
        <v>133</v>
      </c>
      <c r="G198">
        <v>7.5</v>
      </c>
      <c r="H198">
        <v>30</v>
      </c>
      <c r="I198" s="97">
        <v>40738</v>
      </c>
      <c r="J198" t="s">
        <v>135</v>
      </c>
      <c r="K198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119AF-1710-447D-BDE0-93CB4E144589}">
  <dimension ref="A1:B64"/>
  <sheetViews>
    <sheetView workbookViewId="0">
      <selection activeCell="D69" sqref="D69"/>
    </sheetView>
  </sheetViews>
  <sheetFormatPr defaultRowHeight="14.4" x14ac:dyDescent="0.3"/>
  <cols>
    <col min="1" max="1" width="19.21875" style="11" customWidth="1"/>
    <col min="2" max="2" width="7" style="11" customWidth="1"/>
    <col min="3" max="226" width="9.109375" style="11" customWidth="1"/>
    <col min="227" max="227" width="20" style="11" customWidth="1"/>
    <col min="228" max="256" width="7" style="11" customWidth="1"/>
    <col min="257" max="258" width="12" style="11" customWidth="1"/>
    <col min="259" max="482" width="9.109375" style="11" customWidth="1"/>
    <col min="483" max="483" width="20" style="11" customWidth="1"/>
    <col min="484" max="512" width="7" style="11" customWidth="1"/>
    <col min="513" max="514" width="12" style="11" customWidth="1"/>
    <col min="515" max="738" width="9.109375" style="11" customWidth="1"/>
    <col min="739" max="739" width="20" style="11" customWidth="1"/>
    <col min="740" max="768" width="7" style="11" customWidth="1"/>
    <col min="769" max="770" width="12" style="11" customWidth="1"/>
    <col min="771" max="994" width="9.109375" style="11" customWidth="1"/>
    <col min="995" max="995" width="20" style="11" customWidth="1"/>
    <col min="996" max="1024" width="7" style="11" customWidth="1"/>
    <col min="1025" max="1026" width="12" style="11" customWidth="1"/>
    <col min="1027" max="1250" width="9.109375" style="11" customWidth="1"/>
    <col min="1251" max="1251" width="20" style="11" customWidth="1"/>
    <col min="1252" max="1280" width="7" style="11" customWidth="1"/>
    <col min="1281" max="1282" width="12" style="11" customWidth="1"/>
    <col min="1283" max="1506" width="9.109375" style="11" customWidth="1"/>
    <col min="1507" max="1507" width="20" style="11" customWidth="1"/>
    <col min="1508" max="1536" width="7" style="11" customWidth="1"/>
    <col min="1537" max="1538" width="12" style="11" customWidth="1"/>
    <col min="1539" max="1762" width="9.109375" style="11" customWidth="1"/>
    <col min="1763" max="1763" width="20" style="11" customWidth="1"/>
    <col min="1764" max="1792" width="7" style="11" customWidth="1"/>
    <col min="1793" max="1794" width="12" style="11" customWidth="1"/>
    <col min="1795" max="2018" width="9.109375" style="11" customWidth="1"/>
    <col min="2019" max="2019" width="20" style="11" customWidth="1"/>
    <col min="2020" max="2048" width="7" style="11" customWidth="1"/>
    <col min="2049" max="2050" width="12" style="11" customWidth="1"/>
    <col min="2051" max="2274" width="9.109375" style="11" customWidth="1"/>
    <col min="2275" max="2275" width="20" style="11" customWidth="1"/>
    <col min="2276" max="2304" width="7" style="11" customWidth="1"/>
    <col min="2305" max="2306" width="12" style="11" customWidth="1"/>
    <col min="2307" max="2530" width="9.109375" style="11" customWidth="1"/>
    <col min="2531" max="2531" width="20" style="11" customWidth="1"/>
    <col min="2532" max="2560" width="7" style="11" customWidth="1"/>
    <col min="2561" max="2562" width="12" style="11" customWidth="1"/>
    <col min="2563" max="2786" width="9.109375" style="11" customWidth="1"/>
    <col min="2787" max="2787" width="20" style="11" customWidth="1"/>
    <col min="2788" max="2816" width="7" style="11" customWidth="1"/>
    <col min="2817" max="2818" width="12" style="11" customWidth="1"/>
    <col min="2819" max="3042" width="9.109375" style="11" customWidth="1"/>
    <col min="3043" max="3043" width="20" style="11" customWidth="1"/>
    <col min="3044" max="3072" width="7" style="11" customWidth="1"/>
    <col min="3073" max="3074" width="12" style="11" customWidth="1"/>
    <col min="3075" max="3298" width="9.109375" style="11" customWidth="1"/>
    <col min="3299" max="3299" width="20" style="11" customWidth="1"/>
    <col min="3300" max="3328" width="7" style="11" customWidth="1"/>
    <col min="3329" max="3330" width="12" style="11" customWidth="1"/>
    <col min="3331" max="3554" width="9.109375" style="11" customWidth="1"/>
    <col min="3555" max="3555" width="20" style="11" customWidth="1"/>
    <col min="3556" max="3584" width="7" style="11" customWidth="1"/>
    <col min="3585" max="3586" width="12" style="11" customWidth="1"/>
    <col min="3587" max="3810" width="9.109375" style="11" customWidth="1"/>
    <col min="3811" max="3811" width="20" style="11" customWidth="1"/>
    <col min="3812" max="3840" width="7" style="11" customWidth="1"/>
    <col min="3841" max="3842" width="12" style="11" customWidth="1"/>
    <col min="3843" max="4066" width="9.109375" style="11" customWidth="1"/>
    <col min="4067" max="4067" width="20" style="11" customWidth="1"/>
    <col min="4068" max="4096" width="7" style="11" customWidth="1"/>
    <col min="4097" max="4098" width="12" style="11" customWidth="1"/>
    <col min="4099" max="4322" width="9.109375" style="11" customWidth="1"/>
    <col min="4323" max="4323" width="20" style="11" customWidth="1"/>
    <col min="4324" max="4352" width="7" style="11" customWidth="1"/>
    <col min="4353" max="4354" width="12" style="11" customWidth="1"/>
    <col min="4355" max="4578" width="9.109375" style="11" customWidth="1"/>
    <col min="4579" max="4579" width="20" style="11" customWidth="1"/>
    <col min="4580" max="4608" width="7" style="11" customWidth="1"/>
    <col min="4609" max="4610" width="12" style="11" customWidth="1"/>
    <col min="4611" max="4834" width="9.109375" style="11" customWidth="1"/>
    <col min="4835" max="4835" width="20" style="11" customWidth="1"/>
    <col min="4836" max="4864" width="7" style="11" customWidth="1"/>
    <col min="4865" max="4866" width="12" style="11" customWidth="1"/>
    <col min="4867" max="5090" width="9.109375" style="11" customWidth="1"/>
    <col min="5091" max="5091" width="20" style="11" customWidth="1"/>
    <col min="5092" max="5120" width="7" style="11" customWidth="1"/>
    <col min="5121" max="5122" width="12" style="11" customWidth="1"/>
    <col min="5123" max="5346" width="9.109375" style="11" customWidth="1"/>
    <col min="5347" max="5347" width="20" style="11" customWidth="1"/>
    <col min="5348" max="5376" width="7" style="11" customWidth="1"/>
    <col min="5377" max="5378" width="12" style="11" customWidth="1"/>
    <col min="5379" max="5602" width="9.109375" style="11" customWidth="1"/>
    <col min="5603" max="5603" width="20" style="11" customWidth="1"/>
    <col min="5604" max="5632" width="7" style="11" customWidth="1"/>
    <col min="5633" max="5634" width="12" style="11" customWidth="1"/>
    <col min="5635" max="5858" width="9.109375" style="11" customWidth="1"/>
    <col min="5859" max="5859" width="20" style="11" customWidth="1"/>
    <col min="5860" max="5888" width="7" style="11" customWidth="1"/>
    <col min="5889" max="5890" width="12" style="11" customWidth="1"/>
    <col min="5891" max="6114" width="9.109375" style="11" customWidth="1"/>
    <col min="6115" max="6115" width="20" style="11" customWidth="1"/>
    <col min="6116" max="6144" width="7" style="11" customWidth="1"/>
    <col min="6145" max="6146" width="12" style="11" customWidth="1"/>
    <col min="6147" max="6370" width="9.109375" style="11" customWidth="1"/>
    <col min="6371" max="6371" width="20" style="11" customWidth="1"/>
    <col min="6372" max="6400" width="7" style="11" customWidth="1"/>
    <col min="6401" max="6402" width="12" style="11" customWidth="1"/>
    <col min="6403" max="6626" width="9.109375" style="11" customWidth="1"/>
    <col min="6627" max="6627" width="20" style="11" customWidth="1"/>
    <col min="6628" max="6656" width="7" style="11" customWidth="1"/>
    <col min="6657" max="6658" width="12" style="11" customWidth="1"/>
    <col min="6659" max="6882" width="9.109375" style="11" customWidth="1"/>
    <col min="6883" max="6883" width="20" style="11" customWidth="1"/>
    <col min="6884" max="6912" width="7" style="11" customWidth="1"/>
    <col min="6913" max="6914" width="12" style="11" customWidth="1"/>
    <col min="6915" max="7138" width="9.109375" style="11" customWidth="1"/>
    <col min="7139" max="7139" width="20" style="11" customWidth="1"/>
    <col min="7140" max="7168" width="7" style="11" customWidth="1"/>
    <col min="7169" max="7170" width="12" style="11" customWidth="1"/>
    <col min="7171" max="7394" width="9.109375" style="11" customWidth="1"/>
    <col min="7395" max="7395" width="20" style="11" customWidth="1"/>
    <col min="7396" max="7424" width="7" style="11" customWidth="1"/>
    <col min="7425" max="7426" width="12" style="11" customWidth="1"/>
    <col min="7427" max="7650" width="9.109375" style="11" customWidth="1"/>
    <col min="7651" max="7651" width="20" style="11" customWidth="1"/>
    <col min="7652" max="7680" width="7" style="11" customWidth="1"/>
    <col min="7681" max="7682" width="12" style="11" customWidth="1"/>
    <col min="7683" max="7906" width="9.109375" style="11" customWidth="1"/>
    <col min="7907" max="7907" width="20" style="11" customWidth="1"/>
    <col min="7908" max="7936" width="7" style="11" customWidth="1"/>
    <col min="7937" max="7938" width="12" style="11" customWidth="1"/>
    <col min="7939" max="8162" width="9.109375" style="11" customWidth="1"/>
    <col min="8163" max="8163" width="20" style="11" customWidth="1"/>
    <col min="8164" max="8192" width="7" style="11" customWidth="1"/>
    <col min="8193" max="8194" width="12" style="11" customWidth="1"/>
    <col min="8195" max="8418" width="9.109375" style="11" customWidth="1"/>
    <col min="8419" max="8419" width="20" style="11" customWidth="1"/>
    <col min="8420" max="8448" width="7" style="11" customWidth="1"/>
    <col min="8449" max="8450" width="12" style="11" customWidth="1"/>
    <col min="8451" max="8674" width="9.109375" style="11" customWidth="1"/>
    <col min="8675" max="8675" width="20" style="11" customWidth="1"/>
    <col min="8676" max="8704" width="7" style="11" customWidth="1"/>
    <col min="8705" max="8706" width="12" style="11" customWidth="1"/>
    <col min="8707" max="8930" width="9.109375" style="11" customWidth="1"/>
    <col min="8931" max="8931" width="20" style="11" customWidth="1"/>
    <col min="8932" max="8960" width="7" style="11" customWidth="1"/>
    <col min="8961" max="8962" width="12" style="11" customWidth="1"/>
    <col min="8963" max="9186" width="9.109375" style="11" customWidth="1"/>
    <col min="9187" max="9187" width="20" style="11" customWidth="1"/>
    <col min="9188" max="9216" width="7" style="11" customWidth="1"/>
    <col min="9217" max="9218" width="12" style="11" customWidth="1"/>
    <col min="9219" max="9442" width="9.109375" style="11" customWidth="1"/>
    <col min="9443" max="9443" width="20" style="11" customWidth="1"/>
    <col min="9444" max="9472" width="7" style="11" customWidth="1"/>
    <col min="9473" max="9474" width="12" style="11" customWidth="1"/>
    <col min="9475" max="9698" width="9.109375" style="11" customWidth="1"/>
    <col min="9699" max="9699" width="20" style="11" customWidth="1"/>
    <col min="9700" max="9728" width="7" style="11" customWidth="1"/>
    <col min="9729" max="9730" width="12" style="11" customWidth="1"/>
    <col min="9731" max="9954" width="9.109375" style="11" customWidth="1"/>
    <col min="9955" max="9955" width="20" style="11" customWidth="1"/>
    <col min="9956" max="9984" width="7" style="11" customWidth="1"/>
    <col min="9985" max="9986" width="12" style="11" customWidth="1"/>
    <col min="9987" max="10210" width="9.109375" style="11" customWidth="1"/>
    <col min="10211" max="10211" width="20" style="11" customWidth="1"/>
    <col min="10212" max="10240" width="7" style="11" customWidth="1"/>
    <col min="10241" max="10242" width="12" style="11" customWidth="1"/>
    <col min="10243" max="10466" width="9.109375" style="11" customWidth="1"/>
    <col min="10467" max="10467" width="20" style="11" customWidth="1"/>
    <col min="10468" max="10496" width="7" style="11" customWidth="1"/>
    <col min="10497" max="10498" width="12" style="11" customWidth="1"/>
    <col min="10499" max="10722" width="9.109375" style="11" customWidth="1"/>
    <col min="10723" max="10723" width="20" style="11" customWidth="1"/>
    <col min="10724" max="10752" width="7" style="11" customWidth="1"/>
    <col min="10753" max="10754" width="12" style="11" customWidth="1"/>
    <col min="10755" max="10978" width="9.109375" style="11" customWidth="1"/>
    <col min="10979" max="10979" width="20" style="11" customWidth="1"/>
    <col min="10980" max="11008" width="7" style="11" customWidth="1"/>
    <col min="11009" max="11010" width="12" style="11" customWidth="1"/>
    <col min="11011" max="11234" width="9.109375" style="11" customWidth="1"/>
    <col min="11235" max="11235" width="20" style="11" customWidth="1"/>
    <col min="11236" max="11264" width="7" style="11" customWidth="1"/>
    <col min="11265" max="11266" width="12" style="11" customWidth="1"/>
    <col min="11267" max="11490" width="9.109375" style="11" customWidth="1"/>
    <col min="11491" max="11491" width="20" style="11" customWidth="1"/>
    <col min="11492" max="11520" width="7" style="11" customWidth="1"/>
    <col min="11521" max="11522" width="12" style="11" customWidth="1"/>
    <col min="11523" max="11746" width="9.109375" style="11" customWidth="1"/>
    <col min="11747" max="11747" width="20" style="11" customWidth="1"/>
    <col min="11748" max="11776" width="7" style="11" customWidth="1"/>
    <col min="11777" max="11778" width="12" style="11" customWidth="1"/>
    <col min="11779" max="12002" width="9.109375" style="11" customWidth="1"/>
    <col min="12003" max="12003" width="20" style="11" customWidth="1"/>
    <col min="12004" max="12032" width="7" style="11" customWidth="1"/>
    <col min="12033" max="12034" width="12" style="11" customWidth="1"/>
    <col min="12035" max="12258" width="9.109375" style="11" customWidth="1"/>
    <col min="12259" max="12259" width="20" style="11" customWidth="1"/>
    <col min="12260" max="12288" width="7" style="11" customWidth="1"/>
    <col min="12289" max="12290" width="12" style="11" customWidth="1"/>
    <col min="12291" max="12514" width="9.109375" style="11" customWidth="1"/>
    <col min="12515" max="12515" width="20" style="11" customWidth="1"/>
    <col min="12516" max="12544" width="7" style="11" customWidth="1"/>
    <col min="12545" max="12546" width="12" style="11" customWidth="1"/>
    <col min="12547" max="12770" width="9.109375" style="11" customWidth="1"/>
    <col min="12771" max="12771" width="20" style="11" customWidth="1"/>
    <col min="12772" max="12800" width="7" style="11" customWidth="1"/>
    <col min="12801" max="12802" width="12" style="11" customWidth="1"/>
    <col min="12803" max="13026" width="9.109375" style="11" customWidth="1"/>
    <col min="13027" max="13027" width="20" style="11" customWidth="1"/>
    <col min="13028" max="13056" width="7" style="11" customWidth="1"/>
    <col min="13057" max="13058" width="12" style="11" customWidth="1"/>
    <col min="13059" max="13282" width="9.109375" style="11" customWidth="1"/>
    <col min="13283" max="13283" width="20" style="11" customWidth="1"/>
    <col min="13284" max="13312" width="7" style="11" customWidth="1"/>
    <col min="13313" max="13314" width="12" style="11" customWidth="1"/>
    <col min="13315" max="13538" width="9.109375" style="11" customWidth="1"/>
    <col min="13539" max="13539" width="20" style="11" customWidth="1"/>
    <col min="13540" max="13568" width="7" style="11" customWidth="1"/>
    <col min="13569" max="13570" width="12" style="11" customWidth="1"/>
    <col min="13571" max="13794" width="9.109375" style="11" customWidth="1"/>
    <col min="13795" max="13795" width="20" style="11" customWidth="1"/>
    <col min="13796" max="13824" width="7" style="11" customWidth="1"/>
    <col min="13825" max="13826" width="12" style="11" customWidth="1"/>
    <col min="13827" max="14050" width="9.109375" style="11" customWidth="1"/>
    <col min="14051" max="14051" width="20" style="11" customWidth="1"/>
    <col min="14052" max="14080" width="7" style="11" customWidth="1"/>
    <col min="14081" max="14082" width="12" style="11" customWidth="1"/>
    <col min="14083" max="14306" width="9.109375" style="11" customWidth="1"/>
    <col min="14307" max="14307" width="20" style="11" customWidth="1"/>
    <col min="14308" max="14336" width="7" style="11" customWidth="1"/>
    <col min="14337" max="14338" width="12" style="11" customWidth="1"/>
    <col min="14339" max="14562" width="9.109375" style="11" customWidth="1"/>
    <col min="14563" max="14563" width="20" style="11" customWidth="1"/>
    <col min="14564" max="14592" width="7" style="11" customWidth="1"/>
    <col min="14593" max="14594" width="12" style="11" customWidth="1"/>
    <col min="14595" max="14818" width="9.109375" style="11" customWidth="1"/>
    <col min="14819" max="14819" width="20" style="11" customWidth="1"/>
    <col min="14820" max="14848" width="7" style="11" customWidth="1"/>
    <col min="14849" max="14850" width="12" style="11" customWidth="1"/>
    <col min="14851" max="15074" width="9.109375" style="11" customWidth="1"/>
    <col min="15075" max="15075" width="20" style="11" customWidth="1"/>
    <col min="15076" max="15104" width="7" style="11" customWidth="1"/>
    <col min="15105" max="15106" width="12" style="11" customWidth="1"/>
    <col min="15107" max="15330" width="9.109375" style="11" customWidth="1"/>
    <col min="15331" max="15331" width="20" style="11" customWidth="1"/>
    <col min="15332" max="15360" width="7" style="11" customWidth="1"/>
    <col min="15361" max="15362" width="12" style="11" customWidth="1"/>
    <col min="15363" max="15586" width="9.109375" style="11" customWidth="1"/>
    <col min="15587" max="15587" width="20" style="11" customWidth="1"/>
    <col min="15588" max="15616" width="7" style="11" customWidth="1"/>
    <col min="15617" max="15618" width="12" style="11" customWidth="1"/>
    <col min="15619" max="15842" width="9.109375" style="11" customWidth="1"/>
    <col min="15843" max="15843" width="20" style="11" customWidth="1"/>
    <col min="15844" max="15872" width="7" style="11" customWidth="1"/>
    <col min="15873" max="15874" width="12" style="11" customWidth="1"/>
    <col min="15875" max="16098" width="9.109375" style="11" customWidth="1"/>
    <col min="16099" max="16099" width="20" style="11" customWidth="1"/>
    <col min="16100" max="16128" width="7" style="11" customWidth="1"/>
    <col min="16129" max="16130" width="12" style="11" customWidth="1"/>
    <col min="16131" max="16384" width="9.109375" style="11" customWidth="1"/>
  </cols>
  <sheetData>
    <row r="1" spans="1:2" ht="19.95" customHeight="1" x14ac:dyDescent="0.3">
      <c r="A1" s="100" t="s">
        <v>0</v>
      </c>
      <c r="B1" s="101"/>
    </row>
    <row r="3" spans="1:2" ht="25.05" customHeight="1" x14ac:dyDescent="0.3">
      <c r="A3" s="1"/>
      <c r="B3" s="1">
        <v>2018</v>
      </c>
    </row>
    <row r="4" spans="1:2" x14ac:dyDescent="0.3">
      <c r="A4" s="2" t="s">
        <v>1</v>
      </c>
      <c r="B4" s="3">
        <v>4489.2039152509997</v>
      </c>
    </row>
    <row r="5" spans="1:2" x14ac:dyDescent="0.3">
      <c r="A5" s="2" t="s">
        <v>2</v>
      </c>
      <c r="B5" s="3">
        <v>1217.4018753519999</v>
      </c>
    </row>
    <row r="6" spans="1:2" x14ac:dyDescent="0.3">
      <c r="A6" s="2" t="s">
        <v>3</v>
      </c>
      <c r="B6" s="3">
        <v>996.34824603000004</v>
      </c>
    </row>
    <row r="7" spans="1:2" x14ac:dyDescent="0.3">
      <c r="A7" s="2" t="s">
        <v>4</v>
      </c>
      <c r="B7" s="3">
        <v>927.52451693</v>
      </c>
    </row>
    <row r="8" spans="1:2" x14ac:dyDescent="0.3">
      <c r="A8" s="2" t="s">
        <v>5</v>
      </c>
      <c r="B8" s="3">
        <v>168.39533282300002</v>
      </c>
    </row>
    <row r="9" spans="1:2" x14ac:dyDescent="0.3">
      <c r="A9" s="2" t="s">
        <v>6</v>
      </c>
      <c r="B9" s="3">
        <v>80.078139222000004</v>
      </c>
    </row>
    <row r="10" spans="1:2" x14ac:dyDescent="0.3">
      <c r="A10" s="4" t="s">
        <v>7</v>
      </c>
      <c r="B10" s="5">
        <v>0</v>
      </c>
    </row>
    <row r="11" spans="1:2" x14ac:dyDescent="0.3">
      <c r="A11" s="4" t="s">
        <v>8</v>
      </c>
      <c r="B11" s="5">
        <v>0.202619522</v>
      </c>
    </row>
    <row r="12" spans="1:2" x14ac:dyDescent="0.3">
      <c r="A12" s="4" t="s">
        <v>9</v>
      </c>
      <c r="B12" s="5">
        <v>0.97695966899999998</v>
      </c>
    </row>
    <row r="13" spans="1:2" x14ac:dyDescent="0.3">
      <c r="A13" s="4" t="s">
        <v>10</v>
      </c>
      <c r="B13" s="5">
        <v>3.6050814369999999</v>
      </c>
    </row>
    <row r="14" spans="1:2" x14ac:dyDescent="0.3">
      <c r="A14" s="4" t="s">
        <v>11</v>
      </c>
      <c r="B14" s="5">
        <v>5.1376260340000002</v>
      </c>
    </row>
    <row r="15" spans="1:2" x14ac:dyDescent="0.3">
      <c r="A15" s="4" t="s">
        <v>12</v>
      </c>
      <c r="B15" s="5">
        <v>1.4913504640000002</v>
      </c>
    </row>
    <row r="16" spans="1:2" x14ac:dyDescent="0.3">
      <c r="A16" s="4" t="s">
        <v>13</v>
      </c>
      <c r="B16" s="5">
        <v>1.611029394</v>
      </c>
    </row>
    <row r="17" spans="1:2" x14ac:dyDescent="0.3">
      <c r="A17" s="4" t="s">
        <v>14</v>
      </c>
      <c r="B17" s="5">
        <v>6.6196387999999995E-2</v>
      </c>
    </row>
    <row r="18" spans="1:2" x14ac:dyDescent="0.3">
      <c r="A18" s="4" t="s">
        <v>15</v>
      </c>
      <c r="B18" s="5">
        <v>3.679754795</v>
      </c>
    </row>
    <row r="19" spans="1:2" x14ac:dyDescent="0.3">
      <c r="A19" s="4" t="s">
        <v>16</v>
      </c>
      <c r="B19" s="5">
        <v>8.6914877000000001E-2</v>
      </c>
    </row>
    <row r="20" spans="1:2" x14ac:dyDescent="0.3">
      <c r="A20" s="4" t="s">
        <v>17</v>
      </c>
      <c r="B20" s="5">
        <v>0</v>
      </c>
    </row>
    <row r="21" spans="1:2" x14ac:dyDescent="0.3">
      <c r="A21" s="4" t="s">
        <v>18</v>
      </c>
      <c r="B21" s="5">
        <v>50.788318971000002</v>
      </c>
    </row>
    <row r="22" spans="1:2" x14ac:dyDescent="0.3">
      <c r="A22" s="4" t="s">
        <v>19</v>
      </c>
      <c r="B22" s="5">
        <v>84.04520407199999</v>
      </c>
    </row>
    <row r="23" spans="1:2" x14ac:dyDescent="0.3">
      <c r="A23" s="4" t="s">
        <v>20</v>
      </c>
      <c r="B23" s="5">
        <v>3.2700722620000002</v>
      </c>
    </row>
    <row r="24" spans="1:2" x14ac:dyDescent="0.3">
      <c r="A24" s="2" t="s">
        <v>21</v>
      </c>
      <c r="B24" s="3">
        <v>694.3322151000001</v>
      </c>
    </row>
    <row r="25" spans="1:2" x14ac:dyDescent="0.3">
      <c r="A25" s="4" t="s">
        <v>22</v>
      </c>
      <c r="B25" s="5">
        <v>91.821510023000002</v>
      </c>
    </row>
    <row r="26" spans="1:2" x14ac:dyDescent="0.3">
      <c r="A26" s="4" t="s">
        <v>23</v>
      </c>
      <c r="B26" s="5">
        <v>556.26842764600008</v>
      </c>
    </row>
    <row r="27" spans="1:2" x14ac:dyDescent="0.3">
      <c r="A27" s="4" t="s">
        <v>24</v>
      </c>
      <c r="B27" s="5">
        <v>2.3224431160000001</v>
      </c>
    </row>
    <row r="28" spans="1:2" x14ac:dyDescent="0.3">
      <c r="A28" s="4" t="s">
        <v>25</v>
      </c>
      <c r="B28" s="5">
        <v>2.1824543809999999</v>
      </c>
    </row>
    <row r="29" spans="1:2" x14ac:dyDescent="0.3">
      <c r="A29" s="2" t="s">
        <v>26</v>
      </c>
      <c r="B29" s="3">
        <v>1367.220855087</v>
      </c>
    </row>
    <row r="30" spans="1:2" x14ac:dyDescent="0.3">
      <c r="A30" s="2" t="s">
        <v>27</v>
      </c>
      <c r="B30" s="3">
        <v>935.46270831699997</v>
      </c>
    </row>
    <row r="31" spans="1:2" x14ac:dyDescent="0.3">
      <c r="A31" s="4" t="s">
        <v>28</v>
      </c>
      <c r="B31" s="5">
        <v>259.48122849600003</v>
      </c>
    </row>
    <row r="32" spans="1:2" x14ac:dyDescent="0.3">
      <c r="A32" s="4" t="s">
        <v>29</v>
      </c>
      <c r="B32" s="5">
        <v>675.98147982199998</v>
      </c>
    </row>
    <row r="33" spans="1:2" x14ac:dyDescent="0.3">
      <c r="A33" s="2" t="s">
        <v>30</v>
      </c>
      <c r="B33" s="3">
        <v>431.75814676900001</v>
      </c>
    </row>
    <row r="34" spans="1:2" x14ac:dyDescent="0.3">
      <c r="A34" s="4" t="s">
        <v>31</v>
      </c>
      <c r="B34" s="5">
        <v>27.944526316000001</v>
      </c>
    </row>
    <row r="35" spans="1:2" x14ac:dyDescent="0.3">
      <c r="A35" s="4" t="s">
        <v>32</v>
      </c>
      <c r="B35" s="5">
        <v>135.53103104000002</v>
      </c>
    </row>
    <row r="36" spans="1:2" x14ac:dyDescent="0.3">
      <c r="A36" s="4" t="s">
        <v>33</v>
      </c>
      <c r="B36" s="5">
        <v>0.373</v>
      </c>
    </row>
    <row r="37" spans="1:2" x14ac:dyDescent="0.3">
      <c r="A37" s="4" t="s">
        <v>34</v>
      </c>
      <c r="B37" s="5">
        <v>44.590009170000002</v>
      </c>
    </row>
    <row r="38" spans="1:2" x14ac:dyDescent="0.3">
      <c r="A38" s="4" t="s">
        <v>35</v>
      </c>
      <c r="B38" s="5">
        <v>101.57925459500001</v>
      </c>
    </row>
    <row r="39" spans="1:2" x14ac:dyDescent="0.3">
      <c r="A39" s="4" t="s">
        <v>36</v>
      </c>
      <c r="B39" s="5">
        <v>81.018287232000006</v>
      </c>
    </row>
    <row r="40" spans="1:2" x14ac:dyDescent="0.3">
      <c r="A40" s="2" t="s">
        <v>37</v>
      </c>
      <c r="B40" s="3">
        <v>348.86608281499997</v>
      </c>
    </row>
    <row r="41" spans="1:2" x14ac:dyDescent="0.3">
      <c r="A41" s="4" t="s">
        <v>38</v>
      </c>
      <c r="B41" s="5">
        <v>192.54692322900001</v>
      </c>
    </row>
    <row r="42" spans="1:2" x14ac:dyDescent="0.3">
      <c r="A42" s="4" t="s">
        <v>39</v>
      </c>
      <c r="B42" s="5">
        <v>38.599271625</v>
      </c>
    </row>
    <row r="43" spans="1:2" x14ac:dyDescent="0.3">
      <c r="A43" s="4" t="s">
        <v>40</v>
      </c>
      <c r="B43" s="5">
        <v>38.948681911000001</v>
      </c>
    </row>
    <row r="44" spans="1:2" x14ac:dyDescent="0.3">
      <c r="A44" s="4" t="s">
        <v>41</v>
      </c>
      <c r="B44" s="5">
        <v>0.37755160100000001</v>
      </c>
    </row>
    <row r="45" spans="1:2" x14ac:dyDescent="0.3">
      <c r="A45" s="4" t="s">
        <v>42</v>
      </c>
      <c r="B45" s="5">
        <v>34.185603864000001</v>
      </c>
    </row>
    <row r="46" spans="1:2" x14ac:dyDescent="0.3">
      <c r="A46" s="4" t="s">
        <v>43</v>
      </c>
      <c r="B46" s="5">
        <v>0.74822060999999995</v>
      </c>
    </row>
    <row r="47" spans="1:2" x14ac:dyDescent="0.3">
      <c r="A47" s="4" t="s">
        <v>44</v>
      </c>
      <c r="B47" s="5">
        <v>4.3233499999999992E-3</v>
      </c>
    </row>
    <row r="48" spans="1:2" x14ac:dyDescent="0.3">
      <c r="A48" s="4" t="s">
        <v>45</v>
      </c>
      <c r="B48" s="5">
        <v>17.077939309000001</v>
      </c>
    </row>
    <row r="49" spans="1:2" x14ac:dyDescent="0.3">
      <c r="A49" s="2" t="s">
        <v>46</v>
      </c>
      <c r="B49" s="3">
        <v>17.07077322</v>
      </c>
    </row>
    <row r="50" spans="1:2" x14ac:dyDescent="0.3">
      <c r="A50" s="4" t="s">
        <v>47</v>
      </c>
      <c r="B50" s="5">
        <v>15.797465589</v>
      </c>
    </row>
    <row r="51" spans="1:2" x14ac:dyDescent="0.3">
      <c r="A51" s="4" t="s">
        <v>48</v>
      </c>
      <c r="B51" s="5">
        <v>1.273307631</v>
      </c>
    </row>
    <row r="52" spans="1:2" x14ac:dyDescent="0.3">
      <c r="A52" s="2" t="s">
        <v>49</v>
      </c>
      <c r="B52" s="3">
        <v>397.69456060700003</v>
      </c>
    </row>
    <row r="53" spans="1:2" x14ac:dyDescent="0.3">
      <c r="A53" s="4" t="s">
        <v>50</v>
      </c>
      <c r="B53" s="5">
        <v>65.795608116000011</v>
      </c>
    </row>
    <row r="54" spans="1:2" x14ac:dyDescent="0.3">
      <c r="A54" s="4" t="s">
        <v>51</v>
      </c>
      <c r="B54" s="5">
        <v>32.718132517999997</v>
      </c>
    </row>
    <row r="55" spans="1:2" x14ac:dyDescent="0.3">
      <c r="A55" s="4" t="s">
        <v>52</v>
      </c>
      <c r="B55" s="5">
        <v>101.340274077</v>
      </c>
    </row>
    <row r="56" spans="1:2" x14ac:dyDescent="0.3">
      <c r="A56" s="4" t="s">
        <v>53</v>
      </c>
      <c r="B56" s="5">
        <v>4.5788633890000003</v>
      </c>
    </row>
    <row r="57" spans="1:2" x14ac:dyDescent="0.3">
      <c r="A57" s="2" t="s">
        <v>54</v>
      </c>
      <c r="B57" s="3">
        <v>1495.6240955990002</v>
      </c>
    </row>
    <row r="58" spans="1:2" x14ac:dyDescent="0.3">
      <c r="A58" s="4" t="s">
        <v>55</v>
      </c>
      <c r="B58" s="5">
        <v>213.51545240000002</v>
      </c>
    </row>
    <row r="59" spans="1:2" x14ac:dyDescent="0.3">
      <c r="A59" s="4" t="s">
        <v>56</v>
      </c>
      <c r="B59" s="5">
        <v>150.02553645399999</v>
      </c>
    </row>
    <row r="60" spans="1:2" x14ac:dyDescent="0.3">
      <c r="A60" s="4" t="s">
        <v>57</v>
      </c>
      <c r="B60" s="5">
        <v>582.83446038</v>
      </c>
    </row>
    <row r="61" spans="1:2" x14ac:dyDescent="0.3">
      <c r="A61" s="6" t="s">
        <v>58</v>
      </c>
      <c r="B61" s="7">
        <v>180.84692912200001</v>
      </c>
    </row>
    <row r="62" spans="1:2" x14ac:dyDescent="0.3">
      <c r="A62" s="8"/>
    </row>
    <row r="63" spans="1:2" ht="24" customHeight="1" x14ac:dyDescent="0.3">
      <c r="A63" s="9"/>
    </row>
    <row r="64" spans="1:2" x14ac:dyDescent="0.3">
      <c r="A64" s="10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B01E3-1C19-497B-BAC5-2E5C66878437}">
  <dimension ref="A1:B64"/>
  <sheetViews>
    <sheetView workbookViewId="0">
      <selection activeCell="A62" sqref="A62:I64"/>
    </sheetView>
  </sheetViews>
  <sheetFormatPr defaultRowHeight="14.4" x14ac:dyDescent="0.3"/>
  <cols>
    <col min="1" max="1" width="23.109375" customWidth="1"/>
    <col min="2" max="2" width="12.44140625" customWidth="1"/>
  </cols>
  <sheetData>
    <row r="1" spans="1:2" x14ac:dyDescent="0.3">
      <c r="A1" s="102" t="s">
        <v>61</v>
      </c>
      <c r="B1" s="103"/>
    </row>
    <row r="3" spans="1:2" x14ac:dyDescent="0.3">
      <c r="A3" s="14"/>
      <c r="B3" s="14">
        <v>2018</v>
      </c>
    </row>
    <row r="4" spans="1:2" x14ac:dyDescent="0.3">
      <c r="A4" s="15" t="s">
        <v>1</v>
      </c>
      <c r="B4" s="16">
        <v>4305.4899211759994</v>
      </c>
    </row>
    <row r="5" spans="1:2" x14ac:dyDescent="0.3">
      <c r="A5" s="15" t="s">
        <v>2</v>
      </c>
      <c r="B5" s="16">
        <v>2027.2708945050001</v>
      </c>
    </row>
    <row r="6" spans="1:2" x14ac:dyDescent="0.3">
      <c r="A6" s="15" t="s">
        <v>3</v>
      </c>
      <c r="B6" s="16">
        <v>1418.6799073069999</v>
      </c>
    </row>
    <row r="7" spans="1:2" x14ac:dyDescent="0.3">
      <c r="A7" s="15" t="s">
        <v>4</v>
      </c>
      <c r="B7" s="16">
        <v>1263.6380305250002</v>
      </c>
    </row>
    <row r="8" spans="1:2" x14ac:dyDescent="0.3">
      <c r="A8" s="15" t="s">
        <v>5</v>
      </c>
      <c r="B8" s="16">
        <v>678.44254206899996</v>
      </c>
    </row>
    <row r="9" spans="1:2" x14ac:dyDescent="0.3">
      <c r="A9" s="15" t="s">
        <v>6</v>
      </c>
      <c r="B9" s="16">
        <v>626.71173709599998</v>
      </c>
    </row>
    <row r="10" spans="1:2" x14ac:dyDescent="0.3">
      <c r="A10" s="17" t="s">
        <v>7</v>
      </c>
      <c r="B10" s="18">
        <v>33.923000000000002</v>
      </c>
    </row>
    <row r="11" spans="1:2" x14ac:dyDescent="0.3">
      <c r="A11" s="17" t="s">
        <v>8</v>
      </c>
      <c r="B11" s="18">
        <v>7.8425204490000002</v>
      </c>
    </row>
    <row r="12" spans="1:2" x14ac:dyDescent="0.3">
      <c r="A12" s="17" t="s">
        <v>9</v>
      </c>
      <c r="B12" s="18">
        <v>55.09891425</v>
      </c>
    </row>
    <row r="13" spans="1:2" x14ac:dyDescent="0.3">
      <c r="A13" s="17" t="s">
        <v>10</v>
      </c>
      <c r="B13" s="18">
        <v>92.491386781000003</v>
      </c>
    </row>
    <row r="14" spans="1:2" x14ac:dyDescent="0.3">
      <c r="A14" s="17" t="s">
        <v>11</v>
      </c>
      <c r="B14" s="18">
        <v>72.291740754000003</v>
      </c>
    </row>
    <row r="15" spans="1:2" x14ac:dyDescent="0.3">
      <c r="A15" s="17" t="s">
        <v>12</v>
      </c>
      <c r="B15" s="18">
        <v>60.946911024000002</v>
      </c>
    </row>
    <row r="16" spans="1:2" x14ac:dyDescent="0.3">
      <c r="A16" s="17" t="s">
        <v>13</v>
      </c>
      <c r="B16" s="18">
        <v>28.654596096000002</v>
      </c>
    </row>
    <row r="17" spans="1:2" x14ac:dyDescent="0.3">
      <c r="A17" s="17" t="s">
        <v>14</v>
      </c>
      <c r="B17" s="18">
        <v>13.983420727999999</v>
      </c>
    </row>
    <row r="18" spans="1:2" x14ac:dyDescent="0.3">
      <c r="A18" s="17" t="s">
        <v>15</v>
      </c>
      <c r="B18" s="18">
        <v>11.921718954000001</v>
      </c>
    </row>
    <row r="19" spans="1:2" x14ac:dyDescent="0.3">
      <c r="A19" s="17" t="s">
        <v>16</v>
      </c>
      <c r="B19" s="18">
        <v>67.674771387999996</v>
      </c>
    </row>
    <row r="20" spans="1:2" x14ac:dyDescent="0.3">
      <c r="A20" s="17" t="s">
        <v>17</v>
      </c>
      <c r="B20" s="18">
        <v>23.219467529000003</v>
      </c>
    </row>
    <row r="21" spans="1:2" x14ac:dyDescent="0.3">
      <c r="A21" s="17" t="s">
        <v>18</v>
      </c>
      <c r="B21" s="18">
        <v>59.150381321000005</v>
      </c>
    </row>
    <row r="22" spans="1:2" x14ac:dyDescent="0.3">
      <c r="A22" s="17" t="s">
        <v>19</v>
      </c>
      <c r="B22" s="18">
        <v>15.670046275999999</v>
      </c>
    </row>
    <row r="23" spans="1:2" x14ac:dyDescent="0.3">
      <c r="A23" s="17" t="s">
        <v>20</v>
      </c>
      <c r="B23" s="18">
        <v>29.023618645999999</v>
      </c>
    </row>
    <row r="24" spans="1:2" x14ac:dyDescent="0.3">
      <c r="A24" s="15" t="s">
        <v>21</v>
      </c>
      <c r="B24" s="16">
        <v>330.734616195</v>
      </c>
    </row>
    <row r="25" spans="1:2" x14ac:dyDescent="0.3">
      <c r="A25" s="17" t="s">
        <v>22</v>
      </c>
      <c r="B25" s="18">
        <v>15.045256704</v>
      </c>
    </row>
    <row r="26" spans="1:2" x14ac:dyDescent="0.3">
      <c r="A26" s="17" t="s">
        <v>23</v>
      </c>
      <c r="B26" s="18">
        <v>276.49035907000001</v>
      </c>
    </row>
    <row r="27" spans="1:2" x14ac:dyDescent="0.3">
      <c r="A27" s="17" t="s">
        <v>24</v>
      </c>
      <c r="B27" s="18">
        <v>2.7294132430000002</v>
      </c>
    </row>
    <row r="28" spans="1:2" x14ac:dyDescent="0.3">
      <c r="A28" s="17" t="s">
        <v>25</v>
      </c>
      <c r="B28" s="18">
        <v>2.1188659590000003</v>
      </c>
    </row>
    <row r="29" spans="1:2" x14ac:dyDescent="0.3">
      <c r="A29" s="15" t="s">
        <v>26</v>
      </c>
      <c r="B29" s="16">
        <v>1249.0056483150001</v>
      </c>
    </row>
    <row r="30" spans="1:2" x14ac:dyDescent="0.3">
      <c r="A30" s="15" t="s">
        <v>27</v>
      </c>
      <c r="B30" s="16">
        <v>990.15568977700002</v>
      </c>
    </row>
    <row r="31" spans="1:2" x14ac:dyDescent="0.3">
      <c r="A31" s="17" t="s">
        <v>28</v>
      </c>
      <c r="B31" s="18">
        <v>94.246526670999998</v>
      </c>
    </row>
    <row r="32" spans="1:2" x14ac:dyDescent="0.3">
      <c r="A32" s="17" t="s">
        <v>29</v>
      </c>
      <c r="B32" s="18">
        <v>895.90916310600005</v>
      </c>
    </row>
    <row r="33" spans="1:2" x14ac:dyDescent="0.3">
      <c r="A33" s="15" t="s">
        <v>30</v>
      </c>
      <c r="B33" s="16">
        <v>258.84995853800001</v>
      </c>
    </row>
    <row r="34" spans="1:2" x14ac:dyDescent="0.3">
      <c r="A34" s="17" t="s">
        <v>31</v>
      </c>
      <c r="B34" s="18">
        <v>28.721338898999999</v>
      </c>
    </row>
    <row r="35" spans="1:2" x14ac:dyDescent="0.3">
      <c r="A35" s="17" t="s">
        <v>32</v>
      </c>
      <c r="B35" s="18">
        <v>95.697307929000004</v>
      </c>
    </row>
    <row r="36" spans="1:2" x14ac:dyDescent="0.3">
      <c r="A36" s="17" t="s">
        <v>33</v>
      </c>
      <c r="B36" s="18">
        <v>9.4057061630000014</v>
      </c>
    </row>
    <row r="37" spans="1:2" x14ac:dyDescent="0.3">
      <c r="A37" s="17" t="s">
        <v>34</v>
      </c>
      <c r="B37" s="18">
        <v>19.39399015</v>
      </c>
    </row>
    <row r="38" spans="1:2" x14ac:dyDescent="0.3">
      <c r="A38" s="17" t="s">
        <v>35</v>
      </c>
      <c r="B38" s="18">
        <v>35.620668847000005</v>
      </c>
    </row>
    <row r="39" spans="1:2" x14ac:dyDescent="0.3">
      <c r="A39" s="17" t="s">
        <v>36</v>
      </c>
      <c r="B39" s="18">
        <v>30.254762970000002</v>
      </c>
    </row>
    <row r="40" spans="1:2" x14ac:dyDescent="0.3">
      <c r="A40" s="15" t="s">
        <v>37</v>
      </c>
      <c r="B40" s="16">
        <v>1458.738828473</v>
      </c>
    </row>
    <row r="41" spans="1:2" x14ac:dyDescent="0.3">
      <c r="A41" s="17" t="s">
        <v>38</v>
      </c>
      <c r="B41" s="18">
        <v>595.34223329200006</v>
      </c>
    </row>
    <row r="42" spans="1:2" x14ac:dyDescent="0.3">
      <c r="A42" s="17" t="s">
        <v>39</v>
      </c>
      <c r="B42" s="18">
        <v>274.37853673799998</v>
      </c>
    </row>
    <row r="43" spans="1:2" x14ac:dyDescent="0.3">
      <c r="A43" s="17" t="s">
        <v>40</v>
      </c>
      <c r="B43" s="18">
        <v>49.110416914000005</v>
      </c>
    </row>
    <row r="44" spans="1:2" x14ac:dyDescent="0.3">
      <c r="A44" s="17" t="s">
        <v>41</v>
      </c>
      <c r="B44" s="18">
        <v>149.49179442400001</v>
      </c>
    </row>
    <row r="45" spans="1:2" x14ac:dyDescent="0.3">
      <c r="A45" s="17" t="s">
        <v>42</v>
      </c>
      <c r="B45" s="18">
        <v>24.586579766</v>
      </c>
    </row>
    <row r="46" spans="1:2" x14ac:dyDescent="0.3">
      <c r="A46" s="17" t="s">
        <v>43</v>
      </c>
      <c r="B46" s="18">
        <v>158.71837810400001</v>
      </c>
    </row>
    <row r="47" spans="1:2" x14ac:dyDescent="0.3">
      <c r="A47" s="17" t="s">
        <v>44</v>
      </c>
      <c r="B47" s="18">
        <v>44.883748343999997</v>
      </c>
    </row>
    <row r="48" spans="1:2" x14ac:dyDescent="0.3">
      <c r="A48" s="17" t="s">
        <v>45</v>
      </c>
      <c r="B48" s="18">
        <v>67.960116329000002</v>
      </c>
    </row>
    <row r="49" spans="1:2" x14ac:dyDescent="0.3">
      <c r="A49" s="15" t="s">
        <v>46</v>
      </c>
      <c r="B49" s="16">
        <v>30.427301033999999</v>
      </c>
    </row>
    <row r="50" spans="1:2" x14ac:dyDescent="0.3">
      <c r="A50" s="17" t="s">
        <v>47</v>
      </c>
      <c r="B50" s="18">
        <v>23.376450605999999</v>
      </c>
    </row>
    <row r="51" spans="1:2" x14ac:dyDescent="0.3">
      <c r="A51" s="17" t="s">
        <v>48</v>
      </c>
      <c r="B51" s="18">
        <v>5.6860092900000003</v>
      </c>
    </row>
    <row r="52" spans="1:2" x14ac:dyDescent="0.3">
      <c r="A52" s="15" t="s">
        <v>49</v>
      </c>
      <c r="B52" s="16">
        <v>114.782898409</v>
      </c>
    </row>
    <row r="53" spans="1:2" x14ac:dyDescent="0.3">
      <c r="A53" s="17" t="s">
        <v>50</v>
      </c>
      <c r="B53" s="18">
        <v>38.349552519</v>
      </c>
    </row>
    <row r="54" spans="1:2" x14ac:dyDescent="0.3">
      <c r="A54" s="17" t="s">
        <v>51</v>
      </c>
      <c r="B54" s="18">
        <v>26.926385047</v>
      </c>
    </row>
    <row r="55" spans="1:2" x14ac:dyDescent="0.3">
      <c r="A55" s="17" t="s">
        <v>52</v>
      </c>
      <c r="B55" s="18">
        <v>4.1462032840000003</v>
      </c>
    </row>
    <row r="56" spans="1:2" x14ac:dyDescent="0.3">
      <c r="A56" s="17" t="s">
        <v>53</v>
      </c>
      <c r="B56" s="18">
        <v>21.729593495000003</v>
      </c>
    </row>
    <row r="57" spans="1:2" x14ac:dyDescent="0.3">
      <c r="A57" s="15" t="s">
        <v>54</v>
      </c>
      <c r="B57" s="16">
        <v>443.35808668100003</v>
      </c>
    </row>
    <row r="58" spans="1:2" x14ac:dyDescent="0.3">
      <c r="A58" s="17" t="s">
        <v>55</v>
      </c>
      <c r="B58" s="18">
        <v>84.067879019000003</v>
      </c>
    </row>
    <row r="59" spans="1:2" x14ac:dyDescent="0.3">
      <c r="A59" s="17" t="s">
        <v>56</v>
      </c>
      <c r="B59" s="18">
        <v>34.173322374000001</v>
      </c>
    </row>
    <row r="60" spans="1:2" x14ac:dyDescent="0.3">
      <c r="A60" s="17" t="s">
        <v>57</v>
      </c>
      <c r="B60" s="18">
        <v>164.30790696299999</v>
      </c>
    </row>
    <row r="61" spans="1:2" x14ac:dyDescent="0.3">
      <c r="A61" s="20" t="s">
        <v>58</v>
      </c>
      <c r="B61" s="21">
        <v>58.392850230999997</v>
      </c>
    </row>
    <row r="62" spans="1:2" x14ac:dyDescent="0.3">
      <c r="A62" s="22"/>
      <c r="B62" s="13"/>
    </row>
    <row r="63" spans="1:2" x14ac:dyDescent="0.3">
      <c r="A63" s="23"/>
      <c r="B63" s="13"/>
    </row>
    <row r="64" spans="1:2" x14ac:dyDescent="0.3">
      <c r="A64" s="19"/>
      <c r="B64" s="13"/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8177B-E04E-408E-BD60-22D6E7914B07}">
  <dimension ref="A1:B64"/>
  <sheetViews>
    <sheetView workbookViewId="0">
      <selection activeCell="E72" sqref="E72"/>
    </sheetView>
  </sheetViews>
  <sheetFormatPr defaultRowHeight="14.4" x14ac:dyDescent="0.3"/>
  <cols>
    <col min="1" max="1" width="21.44140625" customWidth="1"/>
    <col min="2" max="2" width="11.21875" customWidth="1"/>
  </cols>
  <sheetData>
    <row r="1" spans="1:2" x14ac:dyDescent="0.3">
      <c r="A1" s="102" t="s">
        <v>59</v>
      </c>
      <c r="B1" s="103"/>
    </row>
    <row r="3" spans="1:2" x14ac:dyDescent="0.3">
      <c r="A3" s="25"/>
      <c r="B3" s="25">
        <v>2018</v>
      </c>
    </row>
    <row r="4" spans="1:2" x14ac:dyDescent="0.3">
      <c r="A4" s="26" t="s">
        <v>1</v>
      </c>
      <c r="B4" s="27">
        <v>7683.2819671860007</v>
      </c>
    </row>
    <row r="5" spans="1:2" x14ac:dyDescent="0.3">
      <c r="A5" s="26" t="s">
        <v>2</v>
      </c>
      <c r="B5" s="27">
        <v>1768.2800642880002</v>
      </c>
    </row>
    <row r="6" spans="1:2" x14ac:dyDescent="0.3">
      <c r="A6" s="26" t="s">
        <v>3</v>
      </c>
      <c r="B6" s="27">
        <v>910.41369817900011</v>
      </c>
    </row>
    <row r="7" spans="1:2" x14ac:dyDescent="0.3">
      <c r="A7" s="26" t="s">
        <v>4</v>
      </c>
      <c r="B7" s="27">
        <v>4911.0233944250003</v>
      </c>
    </row>
    <row r="8" spans="1:2" x14ac:dyDescent="0.3">
      <c r="A8" s="26" t="s">
        <v>5</v>
      </c>
      <c r="B8" s="27">
        <v>628.565055906</v>
      </c>
    </row>
    <row r="9" spans="1:2" x14ac:dyDescent="0.3">
      <c r="A9" s="26" t="s">
        <v>6</v>
      </c>
      <c r="B9" s="27">
        <v>472.637478004</v>
      </c>
    </row>
    <row r="10" spans="1:2" x14ac:dyDescent="0.3">
      <c r="A10" s="28" t="s">
        <v>7</v>
      </c>
      <c r="B10" s="29">
        <v>1.8285713999999998E-2</v>
      </c>
    </row>
    <row r="11" spans="1:2" x14ac:dyDescent="0.3">
      <c r="A11" s="28" t="s">
        <v>8</v>
      </c>
      <c r="B11" s="29">
        <v>43.739529155</v>
      </c>
    </row>
    <row r="12" spans="1:2" x14ac:dyDescent="0.3">
      <c r="A12" s="28" t="s">
        <v>9</v>
      </c>
      <c r="B12" s="29">
        <v>0</v>
      </c>
    </row>
    <row r="13" spans="1:2" x14ac:dyDescent="0.3">
      <c r="A13" s="28" t="s">
        <v>10</v>
      </c>
      <c r="B13" s="29">
        <v>168.797853159</v>
      </c>
    </row>
    <row r="14" spans="1:2" x14ac:dyDescent="0.3">
      <c r="A14" s="28" t="s">
        <v>11</v>
      </c>
      <c r="B14" s="29">
        <v>0</v>
      </c>
    </row>
    <row r="15" spans="1:2" x14ac:dyDescent="0.3">
      <c r="A15" s="28" t="s">
        <v>12</v>
      </c>
      <c r="B15" s="29">
        <v>0</v>
      </c>
    </row>
    <row r="16" spans="1:2" x14ac:dyDescent="0.3">
      <c r="A16" s="28" t="s">
        <v>13</v>
      </c>
      <c r="B16" s="29">
        <v>122.82070885100001</v>
      </c>
    </row>
    <row r="17" spans="1:2" x14ac:dyDescent="0.3">
      <c r="A17" s="28" t="s">
        <v>14</v>
      </c>
      <c r="B17" s="29">
        <v>0</v>
      </c>
    </row>
    <row r="18" spans="1:2" x14ac:dyDescent="0.3">
      <c r="A18" s="28" t="s">
        <v>15</v>
      </c>
      <c r="B18" s="29">
        <v>23.717419303</v>
      </c>
    </row>
    <row r="19" spans="1:2" x14ac:dyDescent="0.3">
      <c r="A19" s="28" t="s">
        <v>16</v>
      </c>
      <c r="B19" s="29">
        <v>1.9004890160000001</v>
      </c>
    </row>
    <row r="20" spans="1:2" x14ac:dyDescent="0.3">
      <c r="A20" s="28" t="s">
        <v>17</v>
      </c>
      <c r="B20" s="29">
        <v>0.29890566000000002</v>
      </c>
    </row>
    <row r="21" spans="1:2" x14ac:dyDescent="0.3">
      <c r="A21" s="28" t="s">
        <v>18</v>
      </c>
      <c r="B21" s="29">
        <v>2.5810018140000004</v>
      </c>
    </row>
    <row r="22" spans="1:2" x14ac:dyDescent="0.3">
      <c r="A22" s="28" t="s">
        <v>19</v>
      </c>
      <c r="B22" s="29">
        <v>0.31635601899999999</v>
      </c>
    </row>
    <row r="23" spans="1:2" x14ac:dyDescent="0.3">
      <c r="A23" s="28" t="s">
        <v>20</v>
      </c>
      <c r="B23" s="29">
        <v>84.739895731000004</v>
      </c>
    </row>
    <row r="24" spans="1:2" x14ac:dyDescent="0.3">
      <c r="A24" s="26" t="s">
        <v>21</v>
      </c>
      <c r="B24" s="27">
        <v>565.48650386099996</v>
      </c>
    </row>
    <row r="25" spans="1:2" x14ac:dyDescent="0.3">
      <c r="A25" s="28" t="s">
        <v>22</v>
      </c>
      <c r="B25" s="29">
        <v>117.806443961</v>
      </c>
    </row>
    <row r="26" spans="1:2" x14ac:dyDescent="0.3">
      <c r="A26" s="28" t="s">
        <v>23</v>
      </c>
      <c r="B26" s="29">
        <v>411.76858387999999</v>
      </c>
    </row>
    <row r="27" spans="1:2" x14ac:dyDescent="0.3">
      <c r="A27" s="28" t="s">
        <v>24</v>
      </c>
      <c r="B27" s="29">
        <v>24.783543225000003</v>
      </c>
    </row>
    <row r="28" spans="1:2" x14ac:dyDescent="0.3">
      <c r="A28" s="28" t="s">
        <v>25</v>
      </c>
      <c r="B28" s="29">
        <v>4.6943515109999998</v>
      </c>
    </row>
    <row r="29" spans="1:2" x14ac:dyDescent="0.3">
      <c r="A29" s="26" t="s">
        <v>26</v>
      </c>
      <c r="B29" s="27">
        <v>846.0768788260001</v>
      </c>
    </row>
    <row r="30" spans="1:2" x14ac:dyDescent="0.3">
      <c r="A30" s="26" t="s">
        <v>27</v>
      </c>
      <c r="B30" s="27">
        <v>738.04531281300012</v>
      </c>
    </row>
    <row r="31" spans="1:2" x14ac:dyDescent="0.3">
      <c r="A31" s="28" t="s">
        <v>28</v>
      </c>
      <c r="B31" s="29">
        <v>54.295461693999997</v>
      </c>
    </row>
    <row r="32" spans="1:2" x14ac:dyDescent="0.3">
      <c r="A32" s="28" t="s">
        <v>29</v>
      </c>
      <c r="B32" s="29">
        <v>683.74985111800004</v>
      </c>
    </row>
    <row r="33" spans="1:2" x14ac:dyDescent="0.3">
      <c r="A33" s="26" t="s">
        <v>30</v>
      </c>
      <c r="B33" s="27">
        <v>108.031566013</v>
      </c>
    </row>
    <row r="34" spans="1:2" x14ac:dyDescent="0.3">
      <c r="A34" s="28" t="s">
        <v>31</v>
      </c>
      <c r="B34" s="29">
        <v>1.932E-2</v>
      </c>
    </row>
    <row r="35" spans="1:2" x14ac:dyDescent="0.3">
      <c r="A35" s="28" t="s">
        <v>32</v>
      </c>
      <c r="B35" s="29">
        <v>4.0916820019999998</v>
      </c>
    </row>
    <row r="36" spans="1:2" x14ac:dyDescent="0.3">
      <c r="A36" s="28" t="s">
        <v>33</v>
      </c>
      <c r="B36" s="29">
        <v>2.9632305630000002</v>
      </c>
    </row>
    <row r="37" spans="1:2" x14ac:dyDescent="0.3">
      <c r="A37" s="28" t="s">
        <v>34</v>
      </c>
      <c r="B37" s="29">
        <v>84.300009974999995</v>
      </c>
    </row>
    <row r="38" spans="1:2" x14ac:dyDescent="0.3">
      <c r="A38" s="28" t="s">
        <v>35</v>
      </c>
      <c r="B38" s="29">
        <v>15.96048616</v>
      </c>
    </row>
    <row r="39" spans="1:2" x14ac:dyDescent="0.3">
      <c r="A39" s="28" t="s">
        <v>36</v>
      </c>
      <c r="B39" s="29">
        <v>0.411307115</v>
      </c>
    </row>
    <row r="40" spans="1:2" x14ac:dyDescent="0.3">
      <c r="A40" s="26" t="s">
        <v>37</v>
      </c>
      <c r="B40" s="27">
        <v>4860.3709924149998</v>
      </c>
    </row>
    <row r="41" spans="1:2" x14ac:dyDescent="0.3">
      <c r="A41" s="28" t="s">
        <v>38</v>
      </c>
      <c r="B41" s="29">
        <v>3474.4865328149999</v>
      </c>
    </row>
    <row r="42" spans="1:2" x14ac:dyDescent="0.3">
      <c r="A42" s="28" t="s">
        <v>39</v>
      </c>
      <c r="B42" s="29">
        <v>763.67760643299994</v>
      </c>
    </row>
    <row r="43" spans="1:2" x14ac:dyDescent="0.3">
      <c r="A43" s="28" t="s">
        <v>40</v>
      </c>
      <c r="B43" s="29">
        <v>474.182832534</v>
      </c>
    </row>
    <row r="44" spans="1:2" x14ac:dyDescent="0.3">
      <c r="A44" s="28" t="s">
        <v>41</v>
      </c>
      <c r="B44" s="29">
        <v>0.98953039300000001</v>
      </c>
    </row>
    <row r="45" spans="1:2" x14ac:dyDescent="0.3">
      <c r="A45" s="28" t="s">
        <v>42</v>
      </c>
      <c r="B45" s="29">
        <v>2.4816484870000002</v>
      </c>
    </row>
    <row r="46" spans="1:2" x14ac:dyDescent="0.3">
      <c r="A46" s="28" t="s">
        <v>43</v>
      </c>
      <c r="B46" s="29">
        <v>1.2</v>
      </c>
    </row>
    <row r="47" spans="1:2" x14ac:dyDescent="0.3">
      <c r="A47" s="28" t="s">
        <v>44</v>
      </c>
      <c r="B47" s="29">
        <v>0</v>
      </c>
    </row>
    <row r="48" spans="1:2" x14ac:dyDescent="0.3">
      <c r="A48" s="28" t="s">
        <v>45</v>
      </c>
      <c r="B48" s="29">
        <v>14.852281593000001</v>
      </c>
    </row>
    <row r="49" spans="1:2" x14ac:dyDescent="0.3">
      <c r="A49" s="26" t="s">
        <v>46</v>
      </c>
      <c r="B49" s="27">
        <v>505.20121254200001</v>
      </c>
    </row>
    <row r="50" spans="1:2" x14ac:dyDescent="0.3">
      <c r="A50" s="28" t="s">
        <v>47</v>
      </c>
      <c r="B50" s="29">
        <v>501.98727136800005</v>
      </c>
    </row>
    <row r="51" spans="1:2" x14ac:dyDescent="0.3">
      <c r="A51" s="28" t="s">
        <v>48</v>
      </c>
      <c r="B51" s="29">
        <v>3.2139411739999999</v>
      </c>
    </row>
    <row r="52" spans="1:2" x14ac:dyDescent="0.3">
      <c r="A52" s="26" t="s">
        <v>49</v>
      </c>
      <c r="B52" s="27">
        <v>275.71090868200002</v>
      </c>
    </row>
    <row r="53" spans="1:2" x14ac:dyDescent="0.3">
      <c r="A53" s="28" t="s">
        <v>50</v>
      </c>
      <c r="B53" s="29">
        <v>0</v>
      </c>
    </row>
    <row r="54" spans="1:2" x14ac:dyDescent="0.3">
      <c r="A54" s="28" t="s">
        <v>51</v>
      </c>
      <c r="B54" s="29">
        <v>0</v>
      </c>
    </row>
    <row r="55" spans="1:2" x14ac:dyDescent="0.3">
      <c r="A55" s="28" t="s">
        <v>52</v>
      </c>
      <c r="B55" s="29">
        <v>4.5999999999999999E-2</v>
      </c>
    </row>
    <row r="56" spans="1:2" x14ac:dyDescent="0.3">
      <c r="A56" s="28" t="s">
        <v>53</v>
      </c>
      <c r="B56" s="29">
        <v>256.998989295</v>
      </c>
    </row>
    <row r="57" spans="1:2" x14ac:dyDescent="0.3">
      <c r="A57" s="26" t="s">
        <v>54</v>
      </c>
      <c r="B57" s="27">
        <v>1.870414953</v>
      </c>
    </row>
    <row r="58" spans="1:2" x14ac:dyDescent="0.3">
      <c r="A58" s="28" t="s">
        <v>55</v>
      </c>
      <c r="B58" s="29">
        <v>1.39375</v>
      </c>
    </row>
    <row r="59" spans="1:2" x14ac:dyDescent="0.3">
      <c r="A59" s="28" t="s">
        <v>56</v>
      </c>
      <c r="B59" s="29">
        <v>0</v>
      </c>
    </row>
    <row r="60" spans="1:2" x14ac:dyDescent="0.3">
      <c r="A60" s="28" t="s">
        <v>57</v>
      </c>
      <c r="B60" s="29">
        <v>0</v>
      </c>
    </row>
    <row r="61" spans="1:2" x14ac:dyDescent="0.3">
      <c r="A61" s="31" t="s">
        <v>58</v>
      </c>
      <c r="B61" s="32">
        <v>0</v>
      </c>
    </row>
    <row r="62" spans="1:2" x14ac:dyDescent="0.3">
      <c r="A62" s="33"/>
      <c r="B62" s="24"/>
    </row>
    <row r="63" spans="1:2" x14ac:dyDescent="0.3">
      <c r="A63" s="34"/>
      <c r="B63" s="24"/>
    </row>
    <row r="64" spans="1:2" x14ac:dyDescent="0.3">
      <c r="A64" s="30"/>
      <c r="B64" s="24"/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46B25-184C-4077-B574-5AB80BB82F58}">
  <dimension ref="A1:B64"/>
  <sheetViews>
    <sheetView workbookViewId="0">
      <selection activeCell="A62" sqref="A62:I64"/>
    </sheetView>
  </sheetViews>
  <sheetFormatPr defaultRowHeight="14.4" x14ac:dyDescent="0.3"/>
  <cols>
    <col min="1" max="1" width="15.5546875" customWidth="1"/>
    <col min="2" max="2" width="13.88671875" customWidth="1"/>
  </cols>
  <sheetData>
    <row r="1" spans="1:2" x14ac:dyDescent="0.3">
      <c r="A1" s="102" t="s">
        <v>75</v>
      </c>
      <c r="B1" s="103"/>
    </row>
    <row r="3" spans="1:2" x14ac:dyDescent="0.3">
      <c r="A3" s="36"/>
      <c r="B3" s="36">
        <v>2018</v>
      </c>
    </row>
    <row r="4" spans="1:2" x14ac:dyDescent="0.3">
      <c r="A4" s="37" t="s">
        <v>1</v>
      </c>
      <c r="B4" s="38">
        <v>3975.3931622250002</v>
      </c>
    </row>
    <row r="5" spans="1:2" x14ac:dyDescent="0.3">
      <c r="A5" s="37" t="s">
        <v>2</v>
      </c>
      <c r="B5" s="38">
        <v>1453.808978842</v>
      </c>
    </row>
    <row r="6" spans="1:2" x14ac:dyDescent="0.3">
      <c r="A6" s="37" t="s">
        <v>3</v>
      </c>
      <c r="B6" s="38">
        <v>1107.7046531219999</v>
      </c>
    </row>
    <row r="7" spans="1:2" x14ac:dyDescent="0.3">
      <c r="A7" s="37" t="s">
        <v>4</v>
      </c>
      <c r="B7" s="38">
        <v>957.28540936100012</v>
      </c>
    </row>
    <row r="8" spans="1:2" x14ac:dyDescent="0.3">
      <c r="A8" s="37" t="s">
        <v>5</v>
      </c>
      <c r="B8" s="38">
        <v>240.312822044</v>
      </c>
    </row>
    <row r="9" spans="1:2" x14ac:dyDescent="0.3">
      <c r="A9" s="37" t="s">
        <v>6</v>
      </c>
      <c r="B9" s="38">
        <v>112.06751094100001</v>
      </c>
    </row>
    <row r="10" spans="1:2" x14ac:dyDescent="0.3">
      <c r="A10" s="39" t="s">
        <v>7</v>
      </c>
      <c r="B10" s="40">
        <v>0</v>
      </c>
    </row>
    <row r="11" spans="1:2" x14ac:dyDescent="0.3">
      <c r="A11" s="39" t="s">
        <v>8</v>
      </c>
      <c r="B11" s="40">
        <v>0.218029156</v>
      </c>
    </row>
    <row r="12" spans="1:2" x14ac:dyDescent="0.3">
      <c r="A12" s="39" t="s">
        <v>9</v>
      </c>
      <c r="B12" s="40">
        <v>2.1736920999999999E-2</v>
      </c>
    </row>
    <row r="13" spans="1:2" x14ac:dyDescent="0.3">
      <c r="A13" s="39" t="s">
        <v>10</v>
      </c>
      <c r="B13" s="40">
        <v>6.866901769</v>
      </c>
    </row>
    <row r="14" spans="1:2" x14ac:dyDescent="0.3">
      <c r="A14" s="39" t="s">
        <v>11</v>
      </c>
      <c r="B14" s="40">
        <v>5.4502578709999998</v>
      </c>
    </row>
    <row r="15" spans="1:2" x14ac:dyDescent="0.3">
      <c r="A15" s="39" t="s">
        <v>12</v>
      </c>
      <c r="B15" s="40">
        <v>31.340702974999999</v>
      </c>
    </row>
    <row r="16" spans="1:2" x14ac:dyDescent="0.3">
      <c r="A16" s="39" t="s">
        <v>13</v>
      </c>
      <c r="B16" s="40">
        <v>5.6148889870000005</v>
      </c>
    </row>
    <row r="17" spans="1:2" x14ac:dyDescent="0.3">
      <c r="A17" s="39" t="s">
        <v>14</v>
      </c>
      <c r="B17" s="40">
        <v>0</v>
      </c>
    </row>
    <row r="18" spans="1:2" x14ac:dyDescent="0.3">
      <c r="A18" s="39" t="s">
        <v>15</v>
      </c>
      <c r="B18" s="40">
        <v>10.200716480999999</v>
      </c>
    </row>
    <row r="19" spans="1:2" x14ac:dyDescent="0.3">
      <c r="A19" s="39" t="s">
        <v>16</v>
      </c>
      <c r="B19" s="40">
        <v>9.6357158999999998E-2</v>
      </c>
    </row>
    <row r="20" spans="1:2" x14ac:dyDescent="0.3">
      <c r="A20" s="39" t="s">
        <v>17</v>
      </c>
      <c r="B20" s="40">
        <v>0</v>
      </c>
    </row>
    <row r="21" spans="1:2" x14ac:dyDescent="0.3">
      <c r="A21" s="39" t="s">
        <v>18</v>
      </c>
      <c r="B21" s="40">
        <v>40.482559624000004</v>
      </c>
    </row>
    <row r="22" spans="1:2" x14ac:dyDescent="0.3">
      <c r="A22" s="39" t="s">
        <v>19</v>
      </c>
      <c r="B22" s="40">
        <v>126.873038569</v>
      </c>
    </row>
    <row r="23" spans="1:2" x14ac:dyDescent="0.3">
      <c r="A23" s="39" t="s">
        <v>20</v>
      </c>
      <c r="B23" s="40">
        <v>0.508201236</v>
      </c>
    </row>
    <row r="24" spans="1:2" x14ac:dyDescent="0.3">
      <c r="A24" s="37" t="s">
        <v>21</v>
      </c>
      <c r="B24" s="38">
        <v>971.558524691</v>
      </c>
    </row>
    <row r="25" spans="1:2" x14ac:dyDescent="0.3">
      <c r="A25" s="39" t="s">
        <v>22</v>
      </c>
      <c r="B25" s="40">
        <v>44.845805122999998</v>
      </c>
    </row>
    <row r="26" spans="1:2" x14ac:dyDescent="0.3">
      <c r="A26" s="39" t="s">
        <v>23</v>
      </c>
      <c r="B26" s="40">
        <v>740.59284696800012</v>
      </c>
    </row>
    <row r="27" spans="1:2" x14ac:dyDescent="0.3">
      <c r="A27" s="39" t="s">
        <v>24</v>
      </c>
      <c r="B27" s="40">
        <v>20.192242320000002</v>
      </c>
    </row>
    <row r="28" spans="1:2" x14ac:dyDescent="0.3">
      <c r="A28" s="39" t="s">
        <v>25</v>
      </c>
      <c r="B28" s="40">
        <v>60.229157196000003</v>
      </c>
    </row>
    <row r="29" spans="1:2" x14ac:dyDescent="0.3">
      <c r="A29" s="37" t="s">
        <v>26</v>
      </c>
      <c r="B29" s="38">
        <v>1257.334354412</v>
      </c>
    </row>
    <row r="30" spans="1:2" x14ac:dyDescent="0.3">
      <c r="A30" s="37" t="s">
        <v>27</v>
      </c>
      <c r="B30" s="38">
        <v>1052.1426594110001</v>
      </c>
    </row>
    <row r="31" spans="1:2" x14ac:dyDescent="0.3">
      <c r="A31" s="39" t="s">
        <v>28</v>
      </c>
      <c r="B31" s="40">
        <v>188.07170485099999</v>
      </c>
    </row>
    <row r="32" spans="1:2" x14ac:dyDescent="0.3">
      <c r="A32" s="39" t="s">
        <v>29</v>
      </c>
      <c r="B32" s="40">
        <v>864.07095456100001</v>
      </c>
    </row>
    <row r="33" spans="1:2" x14ac:dyDescent="0.3">
      <c r="A33" s="37" t="s">
        <v>30</v>
      </c>
      <c r="B33" s="38">
        <v>205.191695001</v>
      </c>
    </row>
    <row r="34" spans="1:2" x14ac:dyDescent="0.3">
      <c r="A34" s="39" t="s">
        <v>31</v>
      </c>
      <c r="B34" s="40">
        <v>45.285789535000006</v>
      </c>
    </row>
    <row r="35" spans="1:2" x14ac:dyDescent="0.3">
      <c r="A35" s="39" t="s">
        <v>32</v>
      </c>
      <c r="B35" s="40">
        <v>23.234643274</v>
      </c>
    </row>
    <row r="36" spans="1:2" x14ac:dyDescent="0.3">
      <c r="A36" s="39" t="s">
        <v>33</v>
      </c>
      <c r="B36" s="40">
        <v>1.5219992740000001</v>
      </c>
    </row>
    <row r="37" spans="1:2" x14ac:dyDescent="0.3">
      <c r="A37" s="39" t="s">
        <v>34</v>
      </c>
      <c r="B37" s="40">
        <v>12.666634051000001</v>
      </c>
    </row>
    <row r="38" spans="1:2" x14ac:dyDescent="0.3">
      <c r="A38" s="39" t="s">
        <v>35</v>
      </c>
      <c r="B38" s="40">
        <v>29.738978608000004</v>
      </c>
    </row>
    <row r="39" spans="1:2" x14ac:dyDescent="0.3">
      <c r="A39" s="39" t="s">
        <v>36</v>
      </c>
      <c r="B39" s="40">
        <v>20.941609498000002</v>
      </c>
    </row>
    <row r="40" spans="1:2" x14ac:dyDescent="0.3">
      <c r="A40" s="37" t="s">
        <v>37</v>
      </c>
      <c r="B40" s="38">
        <v>477.86119514299997</v>
      </c>
    </row>
    <row r="41" spans="1:2" x14ac:dyDescent="0.3">
      <c r="A41" s="39" t="s">
        <v>38</v>
      </c>
      <c r="B41" s="40">
        <v>160.37921870900001</v>
      </c>
    </row>
    <row r="42" spans="1:2" x14ac:dyDescent="0.3">
      <c r="A42" s="39" t="s">
        <v>39</v>
      </c>
      <c r="B42" s="40">
        <v>32.127424548999997</v>
      </c>
    </row>
    <row r="43" spans="1:2" x14ac:dyDescent="0.3">
      <c r="A43" s="39" t="s">
        <v>40</v>
      </c>
      <c r="B43" s="40">
        <v>74.839789944999993</v>
      </c>
    </row>
    <row r="44" spans="1:2" x14ac:dyDescent="0.3">
      <c r="A44" s="39" t="s">
        <v>41</v>
      </c>
      <c r="B44" s="40">
        <v>2.7405375250000001</v>
      </c>
    </row>
    <row r="45" spans="1:2" x14ac:dyDescent="0.3">
      <c r="A45" s="39" t="s">
        <v>42</v>
      </c>
      <c r="B45" s="40">
        <v>67.262482176999995</v>
      </c>
    </row>
    <row r="46" spans="1:2" x14ac:dyDescent="0.3">
      <c r="A46" s="39" t="s">
        <v>43</v>
      </c>
      <c r="B46" s="40">
        <v>0.30538965000000001</v>
      </c>
    </row>
    <row r="47" spans="1:2" x14ac:dyDescent="0.3">
      <c r="A47" s="39" t="s">
        <v>44</v>
      </c>
      <c r="B47" s="40">
        <v>0.177629906</v>
      </c>
    </row>
    <row r="48" spans="1:2" x14ac:dyDescent="0.3">
      <c r="A48" s="39" t="s">
        <v>45</v>
      </c>
      <c r="B48" s="40">
        <v>29.707371136000003</v>
      </c>
    </row>
    <row r="49" spans="1:2" x14ac:dyDescent="0.3">
      <c r="A49" s="37" t="s">
        <v>46</v>
      </c>
      <c r="B49" s="38">
        <v>141.92021327199998</v>
      </c>
    </row>
    <row r="50" spans="1:2" x14ac:dyDescent="0.3">
      <c r="A50" s="39" t="s">
        <v>47</v>
      </c>
      <c r="B50" s="40">
        <v>125.018376051</v>
      </c>
    </row>
    <row r="51" spans="1:2" x14ac:dyDescent="0.3">
      <c r="A51" s="39" t="s">
        <v>48</v>
      </c>
      <c r="B51" s="40">
        <v>4.2525485420000004</v>
      </c>
    </row>
    <row r="52" spans="1:2" x14ac:dyDescent="0.3">
      <c r="A52" s="37" t="s">
        <v>49</v>
      </c>
      <c r="B52" s="38">
        <v>229.83073124000001</v>
      </c>
    </row>
    <row r="53" spans="1:2" x14ac:dyDescent="0.3">
      <c r="A53" s="39" t="s">
        <v>50</v>
      </c>
      <c r="B53" s="40">
        <v>95.948095488000007</v>
      </c>
    </row>
    <row r="54" spans="1:2" x14ac:dyDescent="0.3">
      <c r="A54" s="39" t="s">
        <v>51</v>
      </c>
      <c r="B54" s="40">
        <v>53.641716762999998</v>
      </c>
    </row>
    <row r="55" spans="1:2" x14ac:dyDescent="0.3">
      <c r="A55" s="39" t="s">
        <v>52</v>
      </c>
      <c r="B55" s="40">
        <v>44.490119473999997</v>
      </c>
    </row>
    <row r="56" spans="1:2" x14ac:dyDescent="0.3">
      <c r="A56" s="39" t="s">
        <v>53</v>
      </c>
      <c r="B56" s="40">
        <v>0.95127586200000003</v>
      </c>
    </row>
    <row r="57" spans="1:2" x14ac:dyDescent="0.3">
      <c r="A57" s="37" t="s">
        <v>54</v>
      </c>
      <c r="B57" s="38">
        <v>656.57532142299999</v>
      </c>
    </row>
    <row r="58" spans="1:2" x14ac:dyDescent="0.3">
      <c r="A58" s="39" t="s">
        <v>55</v>
      </c>
      <c r="B58" s="40">
        <v>232.01348583699999</v>
      </c>
    </row>
    <row r="59" spans="1:2" x14ac:dyDescent="0.3">
      <c r="A59" s="39" t="s">
        <v>56</v>
      </c>
      <c r="B59" s="40">
        <v>18.540748426</v>
      </c>
    </row>
    <row r="60" spans="1:2" x14ac:dyDescent="0.3">
      <c r="A60" s="39" t="s">
        <v>57</v>
      </c>
      <c r="B60" s="40">
        <v>97.644571755000001</v>
      </c>
    </row>
    <row r="61" spans="1:2" x14ac:dyDescent="0.3">
      <c r="A61" s="42" t="s">
        <v>58</v>
      </c>
      <c r="B61" s="43">
        <v>61.73354475</v>
      </c>
    </row>
    <row r="62" spans="1:2" x14ac:dyDescent="0.3">
      <c r="A62" s="44"/>
      <c r="B62" s="35"/>
    </row>
    <row r="63" spans="1:2" x14ac:dyDescent="0.3">
      <c r="A63" s="45"/>
      <c r="B63" s="35"/>
    </row>
    <row r="64" spans="1:2" x14ac:dyDescent="0.3">
      <c r="A64" s="41"/>
      <c r="B64" s="35"/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D4DB1-21A5-4F57-892A-89B2B4ABE753}">
  <dimension ref="A1:B64"/>
  <sheetViews>
    <sheetView workbookViewId="0">
      <selection activeCell="F14" sqref="F14"/>
    </sheetView>
  </sheetViews>
  <sheetFormatPr defaultRowHeight="14.4" x14ac:dyDescent="0.3"/>
  <cols>
    <col min="1" max="1" width="28.77734375" customWidth="1"/>
  </cols>
  <sheetData>
    <row r="1" spans="1:2" x14ac:dyDescent="0.3">
      <c r="A1" s="104" t="s">
        <v>85</v>
      </c>
      <c r="B1" s="105"/>
    </row>
    <row r="3" spans="1:2" x14ac:dyDescent="0.3">
      <c r="A3" s="74"/>
      <c r="B3" s="74">
        <v>2018</v>
      </c>
    </row>
    <row r="4" spans="1:2" x14ac:dyDescent="0.3">
      <c r="A4" s="75" t="s">
        <v>1</v>
      </c>
      <c r="B4" s="76">
        <v>26590.339117711002</v>
      </c>
    </row>
    <row r="5" spans="1:2" x14ac:dyDescent="0.3">
      <c r="A5" s="75" t="s">
        <v>2</v>
      </c>
      <c r="B5" s="76">
        <v>11229.839294103</v>
      </c>
    </row>
    <row r="6" spans="1:2" x14ac:dyDescent="0.3">
      <c r="A6" s="75" t="s">
        <v>3</v>
      </c>
      <c r="B6" s="76">
        <v>8037.4925692469997</v>
      </c>
    </row>
    <row r="7" spans="1:2" x14ac:dyDescent="0.3">
      <c r="A7" s="75" t="s">
        <v>4</v>
      </c>
      <c r="B7" s="76">
        <v>10715.200882757001</v>
      </c>
    </row>
    <row r="8" spans="1:2" x14ac:dyDescent="0.3">
      <c r="A8" s="75" t="s">
        <v>5</v>
      </c>
      <c r="B8" s="76">
        <v>3883.4599393489998</v>
      </c>
    </row>
    <row r="9" spans="1:2" x14ac:dyDescent="0.3">
      <c r="A9" s="75" t="s">
        <v>6</v>
      </c>
      <c r="B9" s="76">
        <v>3277.9671035169999</v>
      </c>
    </row>
    <row r="10" spans="1:2" x14ac:dyDescent="0.3">
      <c r="A10" s="77" t="s">
        <v>7</v>
      </c>
      <c r="B10" s="78">
        <v>74.460825182999997</v>
      </c>
    </row>
    <row r="11" spans="1:2" x14ac:dyDescent="0.3">
      <c r="A11" s="77" t="s">
        <v>8</v>
      </c>
      <c r="B11" s="78">
        <v>88.012738803000005</v>
      </c>
    </row>
    <row r="12" spans="1:2" x14ac:dyDescent="0.3">
      <c r="A12" s="77" t="s">
        <v>9</v>
      </c>
      <c r="B12" s="78">
        <v>571.35026996299996</v>
      </c>
    </row>
    <row r="13" spans="1:2" x14ac:dyDescent="0.3">
      <c r="A13" s="77" t="s">
        <v>10</v>
      </c>
      <c r="B13" s="78">
        <v>647.37895579000008</v>
      </c>
    </row>
    <row r="14" spans="1:2" x14ac:dyDescent="0.3">
      <c r="A14" s="77" t="s">
        <v>11</v>
      </c>
      <c r="B14" s="78">
        <v>290.61232199400001</v>
      </c>
    </row>
    <row r="15" spans="1:2" x14ac:dyDescent="0.3">
      <c r="A15" s="77" t="s">
        <v>12</v>
      </c>
      <c r="B15" s="78">
        <v>117.24182485800002</v>
      </c>
    </row>
    <row r="16" spans="1:2" x14ac:dyDescent="0.3">
      <c r="A16" s="77" t="s">
        <v>13</v>
      </c>
      <c r="B16" s="78">
        <v>169.80984167100002</v>
      </c>
    </row>
    <row r="17" spans="1:2" x14ac:dyDescent="0.3">
      <c r="A17" s="77" t="s">
        <v>14</v>
      </c>
      <c r="B17" s="78">
        <v>59.770921747000003</v>
      </c>
    </row>
    <row r="18" spans="1:2" x14ac:dyDescent="0.3">
      <c r="A18" s="77" t="s">
        <v>15</v>
      </c>
      <c r="B18" s="78">
        <v>65.041961697000005</v>
      </c>
    </row>
    <row r="19" spans="1:2" x14ac:dyDescent="0.3">
      <c r="A19" s="77" t="s">
        <v>16</v>
      </c>
      <c r="B19" s="78">
        <v>273.69417309300002</v>
      </c>
    </row>
    <row r="20" spans="1:2" x14ac:dyDescent="0.3">
      <c r="A20" s="77" t="s">
        <v>17</v>
      </c>
      <c r="B20" s="78">
        <v>163.22107333600002</v>
      </c>
    </row>
    <row r="21" spans="1:2" x14ac:dyDescent="0.3">
      <c r="A21" s="77" t="s">
        <v>18</v>
      </c>
      <c r="B21" s="78">
        <v>334.01235822000001</v>
      </c>
    </row>
    <row r="22" spans="1:2" x14ac:dyDescent="0.3">
      <c r="A22" s="77" t="s">
        <v>19</v>
      </c>
      <c r="B22" s="78">
        <v>147.62382315899998</v>
      </c>
    </row>
    <row r="23" spans="1:2" x14ac:dyDescent="0.3">
      <c r="A23" s="77" t="s">
        <v>20</v>
      </c>
      <c r="B23" s="78">
        <v>302.710108429</v>
      </c>
    </row>
    <row r="24" spans="1:2" x14ac:dyDescent="0.3">
      <c r="A24" s="75" t="s">
        <v>21</v>
      </c>
      <c r="B24" s="76">
        <v>1611.936932845</v>
      </c>
    </row>
    <row r="25" spans="1:2" x14ac:dyDescent="0.3">
      <c r="A25" s="77" t="s">
        <v>22</v>
      </c>
      <c r="B25" s="78">
        <v>120.43378953</v>
      </c>
    </row>
    <row r="26" spans="1:2" x14ac:dyDescent="0.3">
      <c r="A26" s="77" t="s">
        <v>23</v>
      </c>
      <c r="B26" s="78">
        <v>1127.840537024</v>
      </c>
    </row>
    <row r="27" spans="1:2" x14ac:dyDescent="0.3">
      <c r="A27" s="77" t="s">
        <v>24</v>
      </c>
      <c r="B27" s="78">
        <v>158.92770572999999</v>
      </c>
    </row>
    <row r="28" spans="1:2" x14ac:dyDescent="0.3">
      <c r="A28" s="77" t="s">
        <v>25</v>
      </c>
      <c r="B28" s="78">
        <v>62.234071587999999</v>
      </c>
    </row>
    <row r="29" spans="1:2" x14ac:dyDescent="0.3">
      <c r="A29" s="75" t="s">
        <v>26</v>
      </c>
      <c r="B29" s="76">
        <v>6702.8597555860006</v>
      </c>
    </row>
    <row r="30" spans="1:2" x14ac:dyDescent="0.3">
      <c r="A30" s="75" t="s">
        <v>27</v>
      </c>
      <c r="B30" s="76">
        <v>5092.2461075159999</v>
      </c>
    </row>
    <row r="31" spans="1:2" x14ac:dyDescent="0.3">
      <c r="A31" s="77" t="s">
        <v>28</v>
      </c>
      <c r="B31" s="78">
        <v>662.986091257</v>
      </c>
    </row>
    <row r="32" spans="1:2" x14ac:dyDescent="0.3">
      <c r="A32" s="77" t="s">
        <v>29</v>
      </c>
      <c r="B32" s="78">
        <v>4429.2600162580002</v>
      </c>
    </row>
    <row r="33" spans="1:2" x14ac:dyDescent="0.3">
      <c r="A33" s="75" t="s">
        <v>30</v>
      </c>
      <c r="B33" s="76">
        <v>1610.6136480700002</v>
      </c>
    </row>
    <row r="34" spans="1:2" x14ac:dyDescent="0.3">
      <c r="A34" s="77" t="s">
        <v>31</v>
      </c>
      <c r="B34" s="78">
        <v>148.17041737300002</v>
      </c>
    </row>
    <row r="35" spans="1:2" x14ac:dyDescent="0.3">
      <c r="A35" s="77" t="s">
        <v>32</v>
      </c>
      <c r="B35" s="78">
        <v>596.435441814</v>
      </c>
    </row>
    <row r="36" spans="1:2" x14ac:dyDescent="0.3">
      <c r="A36" s="77" t="s">
        <v>33</v>
      </c>
      <c r="B36" s="78">
        <v>80.548308937000002</v>
      </c>
    </row>
    <row r="37" spans="1:2" x14ac:dyDescent="0.3">
      <c r="A37" s="77" t="s">
        <v>34</v>
      </c>
      <c r="B37" s="78">
        <v>80.277082993000008</v>
      </c>
    </row>
    <row r="38" spans="1:2" x14ac:dyDescent="0.3">
      <c r="A38" s="77" t="s">
        <v>35</v>
      </c>
      <c r="B38" s="78">
        <v>320.15604330600002</v>
      </c>
    </row>
    <row r="39" spans="1:2" x14ac:dyDescent="0.3">
      <c r="A39" s="77" t="s">
        <v>36</v>
      </c>
      <c r="B39" s="78">
        <v>100.316987289</v>
      </c>
    </row>
    <row r="40" spans="1:2" x14ac:dyDescent="0.3">
      <c r="A40" s="75" t="s">
        <v>37</v>
      </c>
      <c r="B40" s="76">
        <v>12008.921285937</v>
      </c>
    </row>
    <row r="41" spans="1:2" x14ac:dyDescent="0.3">
      <c r="A41" s="77" t="s">
        <v>38</v>
      </c>
      <c r="B41" s="78">
        <v>7091.7903035009995</v>
      </c>
    </row>
    <row r="42" spans="1:2" x14ac:dyDescent="0.3">
      <c r="A42" s="77" t="s">
        <v>39</v>
      </c>
      <c r="B42" s="78">
        <v>1643.1695901979999</v>
      </c>
    </row>
    <row r="43" spans="1:2" x14ac:dyDescent="0.3">
      <c r="A43" s="77" t="s">
        <v>40</v>
      </c>
      <c r="B43" s="78">
        <v>268.35613677500004</v>
      </c>
    </row>
    <row r="44" spans="1:2" x14ac:dyDescent="0.3">
      <c r="A44" s="77" t="s">
        <v>41</v>
      </c>
      <c r="B44" s="78">
        <v>1101.892555764</v>
      </c>
    </row>
    <row r="45" spans="1:2" x14ac:dyDescent="0.3">
      <c r="A45" s="77" t="s">
        <v>42</v>
      </c>
      <c r="B45" s="78">
        <v>166.38166741500001</v>
      </c>
    </row>
    <row r="46" spans="1:2" x14ac:dyDescent="0.3">
      <c r="A46" s="77" t="s">
        <v>43</v>
      </c>
      <c r="B46" s="78">
        <v>593.34602615100005</v>
      </c>
    </row>
    <row r="47" spans="1:2" x14ac:dyDescent="0.3">
      <c r="A47" s="77" t="s">
        <v>44</v>
      </c>
      <c r="B47" s="78">
        <v>273.60660641599998</v>
      </c>
    </row>
    <row r="48" spans="1:2" x14ac:dyDescent="0.3">
      <c r="A48" s="77" t="s">
        <v>45</v>
      </c>
      <c r="B48" s="78">
        <v>188.98788597699999</v>
      </c>
    </row>
    <row r="49" spans="1:2" x14ac:dyDescent="0.3">
      <c r="A49" s="75" t="s">
        <v>46</v>
      </c>
      <c r="B49" s="76">
        <v>308.24310863199997</v>
      </c>
    </row>
    <row r="50" spans="1:2" x14ac:dyDescent="0.3">
      <c r="A50" s="77" t="s">
        <v>47</v>
      </c>
      <c r="B50" s="78">
        <v>258.99399101800003</v>
      </c>
    </row>
    <row r="51" spans="1:2" x14ac:dyDescent="0.3">
      <c r="A51" s="77" t="s">
        <v>48</v>
      </c>
      <c r="B51" s="78">
        <v>43.612476819000001</v>
      </c>
    </row>
    <row r="52" spans="1:2" x14ac:dyDescent="0.3">
      <c r="A52" s="75" t="s">
        <v>49</v>
      </c>
      <c r="B52" s="76">
        <v>855.44953892600006</v>
      </c>
    </row>
    <row r="53" spans="1:2" x14ac:dyDescent="0.3">
      <c r="A53" s="77" t="s">
        <v>50</v>
      </c>
      <c r="B53" s="78">
        <v>86.604925277999996</v>
      </c>
    </row>
    <row r="54" spans="1:2" x14ac:dyDescent="0.3">
      <c r="A54" s="77" t="s">
        <v>51</v>
      </c>
      <c r="B54" s="78">
        <v>206.56807106900001</v>
      </c>
    </row>
    <row r="55" spans="1:2" x14ac:dyDescent="0.3">
      <c r="A55" s="77" t="s">
        <v>52</v>
      </c>
      <c r="B55" s="78">
        <v>33.309560022999996</v>
      </c>
    </row>
    <row r="56" spans="1:2" x14ac:dyDescent="0.3">
      <c r="A56" s="77" t="s">
        <v>53</v>
      </c>
      <c r="B56" s="78">
        <v>255.96501022000001</v>
      </c>
    </row>
    <row r="57" spans="1:2" x14ac:dyDescent="0.3">
      <c r="A57" s="75" t="s">
        <v>54</v>
      </c>
      <c r="B57" s="76">
        <v>1219.468556436</v>
      </c>
    </row>
    <row r="58" spans="1:2" x14ac:dyDescent="0.3">
      <c r="A58" s="77" t="s">
        <v>55</v>
      </c>
      <c r="B58" s="78">
        <v>310.83532908499996</v>
      </c>
    </row>
    <row r="59" spans="1:2" x14ac:dyDescent="0.3">
      <c r="A59" s="77" t="s">
        <v>56</v>
      </c>
      <c r="B59" s="78">
        <v>74.958217673000007</v>
      </c>
    </row>
    <row r="60" spans="1:2" x14ac:dyDescent="0.3">
      <c r="A60" s="77" t="s">
        <v>57</v>
      </c>
      <c r="B60" s="78">
        <v>351.14301088999997</v>
      </c>
    </row>
    <row r="61" spans="1:2" x14ac:dyDescent="0.3">
      <c r="A61" s="80" t="s">
        <v>58</v>
      </c>
      <c r="B61" s="81">
        <v>136.93032893</v>
      </c>
    </row>
    <row r="62" spans="1:2" x14ac:dyDescent="0.3">
      <c r="A62" s="82"/>
      <c r="B62" s="73"/>
    </row>
    <row r="63" spans="1:2" x14ac:dyDescent="0.3">
      <c r="A63" s="83"/>
      <c r="B63" s="73"/>
    </row>
    <row r="64" spans="1:2" x14ac:dyDescent="0.3">
      <c r="A64" s="79"/>
      <c r="B64" s="73"/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9250B-D5E2-414C-8182-75FE4E682F4E}">
  <dimension ref="A1:B64"/>
  <sheetViews>
    <sheetView workbookViewId="0">
      <selection activeCell="J58" sqref="J58"/>
    </sheetView>
  </sheetViews>
  <sheetFormatPr defaultRowHeight="14.4" x14ac:dyDescent="0.3"/>
  <cols>
    <col min="1" max="1" width="29.109375" customWidth="1"/>
    <col min="2" max="2" width="18.88671875" customWidth="1"/>
  </cols>
  <sheetData>
    <row r="1" spans="1:2" x14ac:dyDescent="0.3">
      <c r="A1" s="102" t="s">
        <v>73</v>
      </c>
      <c r="B1" s="103"/>
    </row>
    <row r="3" spans="1:2" x14ac:dyDescent="0.3">
      <c r="A3" s="47"/>
      <c r="B3" s="47">
        <v>2018</v>
      </c>
    </row>
    <row r="4" spans="1:2" x14ac:dyDescent="0.3">
      <c r="A4" s="48" t="s">
        <v>1</v>
      </c>
      <c r="B4" s="49">
        <v>25.603860999999998</v>
      </c>
    </row>
    <row r="5" spans="1:2" x14ac:dyDescent="0.3">
      <c r="A5" s="48" t="s">
        <v>2</v>
      </c>
      <c r="B5" s="49">
        <v>26.139697000000002</v>
      </c>
    </row>
    <row r="6" spans="1:2" x14ac:dyDescent="0.3">
      <c r="A6" s="48" t="s">
        <v>3</v>
      </c>
      <c r="B6" s="49">
        <v>24.633016999999999</v>
      </c>
    </row>
    <row r="7" spans="1:2" x14ac:dyDescent="0.3">
      <c r="A7" s="48" t="s">
        <v>4</v>
      </c>
      <c r="B7" s="49">
        <v>26.738654</v>
      </c>
    </row>
    <row r="8" spans="1:2" x14ac:dyDescent="0.3">
      <c r="A8" s="48" t="s">
        <v>5</v>
      </c>
      <c r="B8" s="49">
        <v>36.395333999999998</v>
      </c>
    </row>
    <row r="9" spans="1:2" x14ac:dyDescent="0.3">
      <c r="A9" s="48" t="s">
        <v>6</v>
      </c>
      <c r="B9" s="49">
        <v>32.716814999999997</v>
      </c>
    </row>
    <row r="10" spans="1:2" x14ac:dyDescent="0.3">
      <c r="A10" s="50" t="s">
        <v>7</v>
      </c>
      <c r="B10" s="51">
        <v>23.302485999999998</v>
      </c>
    </row>
    <row r="11" spans="1:2" x14ac:dyDescent="0.3">
      <c r="A11" s="50" t="s">
        <v>8</v>
      </c>
      <c r="B11" s="51">
        <v>11.904241000000001</v>
      </c>
    </row>
    <row r="12" spans="1:2" x14ac:dyDescent="0.3">
      <c r="A12" s="50" t="s">
        <v>9</v>
      </c>
      <c r="B12" s="51">
        <v>19.938213999999999</v>
      </c>
    </row>
    <row r="13" spans="1:2" x14ac:dyDescent="0.3">
      <c r="A13" s="50" t="s">
        <v>10</v>
      </c>
      <c r="B13" s="51">
        <v>35.996468</v>
      </c>
    </row>
    <row r="14" spans="1:2" x14ac:dyDescent="0.3">
      <c r="A14" s="50" t="s">
        <v>11</v>
      </c>
      <c r="B14" s="51">
        <v>39.867511999999998</v>
      </c>
    </row>
    <row r="15" spans="1:2" x14ac:dyDescent="0.3">
      <c r="A15" s="50" t="s">
        <v>12</v>
      </c>
      <c r="B15" s="51">
        <v>15.718127000000001</v>
      </c>
    </row>
    <row r="16" spans="1:2" x14ac:dyDescent="0.3">
      <c r="A16" s="50" t="s">
        <v>13</v>
      </c>
      <c r="B16" s="51">
        <v>12.983093</v>
      </c>
    </row>
    <row r="17" spans="1:2" x14ac:dyDescent="0.3">
      <c r="A17" s="50" t="s">
        <v>14</v>
      </c>
      <c r="B17" s="51">
        <v>52.175637000000002</v>
      </c>
    </row>
    <row r="18" spans="1:2" x14ac:dyDescent="0.3">
      <c r="A18" s="50" t="s">
        <v>15</v>
      </c>
      <c r="B18" s="51">
        <v>41.270617999999999</v>
      </c>
    </row>
    <row r="19" spans="1:2" x14ac:dyDescent="0.3">
      <c r="A19" s="50" t="s">
        <v>16</v>
      </c>
      <c r="B19" s="51">
        <v>38.622475999999999</v>
      </c>
    </row>
    <row r="20" spans="1:2" x14ac:dyDescent="0.3">
      <c r="A20" s="50" t="s">
        <v>17</v>
      </c>
      <c r="B20" s="51">
        <v>55.270246999999998</v>
      </c>
    </row>
    <row r="21" spans="1:2" x14ac:dyDescent="0.3">
      <c r="A21" s="50" t="s">
        <v>18</v>
      </c>
      <c r="B21" s="51">
        <v>33.984161</v>
      </c>
    </row>
    <row r="22" spans="1:2" x14ac:dyDescent="0.3">
      <c r="A22" s="50" t="s">
        <v>19</v>
      </c>
      <c r="B22" s="51">
        <v>97.880094</v>
      </c>
    </row>
    <row r="23" spans="1:2" x14ac:dyDescent="0.3">
      <c r="A23" s="50" t="s">
        <v>20</v>
      </c>
      <c r="B23" s="51">
        <v>32.375897999999999</v>
      </c>
    </row>
    <row r="24" spans="1:2" x14ac:dyDescent="0.3">
      <c r="A24" s="48" t="s">
        <v>21</v>
      </c>
      <c r="B24" s="49">
        <v>17.952017999999999</v>
      </c>
    </row>
    <row r="25" spans="1:2" x14ac:dyDescent="0.3">
      <c r="A25" s="50" t="s">
        <v>22</v>
      </c>
      <c r="B25" s="51">
        <v>17.797394000000001</v>
      </c>
    </row>
    <row r="26" spans="1:2" x14ac:dyDescent="0.3">
      <c r="A26" s="50" t="s">
        <v>23</v>
      </c>
      <c r="B26" s="51">
        <v>17.180802</v>
      </c>
    </row>
    <row r="27" spans="1:2" x14ac:dyDescent="0.3">
      <c r="A27" s="50" t="s">
        <v>24</v>
      </c>
      <c r="B27" s="51">
        <v>8.8109830000000002</v>
      </c>
    </row>
    <row r="28" spans="1:2" x14ac:dyDescent="0.3">
      <c r="A28" s="50" t="s">
        <v>25</v>
      </c>
      <c r="B28" s="51">
        <v>19.132387000000001</v>
      </c>
    </row>
    <row r="29" spans="1:2" x14ac:dyDescent="0.3">
      <c r="A29" s="48" t="s">
        <v>26</v>
      </c>
      <c r="B29" s="49">
        <v>32.116117000000003</v>
      </c>
    </row>
    <row r="30" spans="1:2" x14ac:dyDescent="0.3">
      <c r="A30" s="48" t="s">
        <v>27</v>
      </c>
      <c r="B30" s="49">
        <v>23.77506</v>
      </c>
    </row>
    <row r="31" spans="1:2" x14ac:dyDescent="0.3">
      <c r="A31" s="50" t="s">
        <v>28</v>
      </c>
      <c r="B31" s="51">
        <v>65.860917999999998</v>
      </c>
    </row>
    <row r="32" spans="1:2" x14ac:dyDescent="0.3">
      <c r="A32" s="50" t="s">
        <v>29</v>
      </c>
      <c r="B32" s="51">
        <v>17.475511999999998</v>
      </c>
    </row>
    <row r="33" spans="1:2" x14ac:dyDescent="0.3">
      <c r="A33" s="48" t="s">
        <v>30</v>
      </c>
      <c r="B33" s="49">
        <v>58.487876</v>
      </c>
    </row>
    <row r="34" spans="1:2" x14ac:dyDescent="0.3">
      <c r="A34" s="50" t="s">
        <v>31</v>
      </c>
      <c r="B34" s="51">
        <v>30.737977999999998</v>
      </c>
    </row>
    <row r="35" spans="1:2" x14ac:dyDescent="0.3">
      <c r="A35" s="50" t="s">
        <v>32</v>
      </c>
      <c r="B35" s="51">
        <v>82.457418000000004</v>
      </c>
    </row>
    <row r="36" spans="1:2" x14ac:dyDescent="0.3">
      <c r="A36" s="50" t="s">
        <v>33</v>
      </c>
      <c r="B36" s="51">
        <v>46.835037999999997</v>
      </c>
    </row>
    <row r="37" spans="1:2" x14ac:dyDescent="0.3">
      <c r="A37" s="50" t="s">
        <v>34</v>
      </c>
      <c r="B37" s="51">
        <v>75.728798999999995</v>
      </c>
    </row>
    <row r="38" spans="1:2" x14ac:dyDescent="0.3">
      <c r="A38" s="50" t="s">
        <v>35</v>
      </c>
      <c r="B38" s="51">
        <v>16.738462999999999</v>
      </c>
    </row>
    <row r="39" spans="1:2" x14ac:dyDescent="0.3">
      <c r="A39" s="50" t="s">
        <v>36</v>
      </c>
      <c r="B39" s="51">
        <v>70.765884</v>
      </c>
    </row>
    <row r="40" spans="1:2" x14ac:dyDescent="0.3">
      <c r="A40" s="48" t="s">
        <v>37</v>
      </c>
      <c r="B40" s="49">
        <v>22.363683000000002</v>
      </c>
    </row>
    <row r="41" spans="1:2" x14ac:dyDescent="0.3">
      <c r="A41" s="50" t="s">
        <v>38</v>
      </c>
      <c r="B41" s="51">
        <v>26.254638</v>
      </c>
    </row>
    <row r="42" spans="1:2" x14ac:dyDescent="0.3">
      <c r="A42" s="50" t="s">
        <v>39</v>
      </c>
      <c r="B42" s="51">
        <v>18.505005000000001</v>
      </c>
    </row>
    <row r="43" spans="1:2" x14ac:dyDescent="0.3">
      <c r="A43" s="50" t="s">
        <v>40</v>
      </c>
      <c r="B43" s="51">
        <v>12.459515</v>
      </c>
    </row>
    <row r="44" spans="1:2" x14ac:dyDescent="0.3">
      <c r="A44" s="50" t="s">
        <v>41</v>
      </c>
      <c r="B44" s="51">
        <v>17.503568999999999</v>
      </c>
    </row>
    <row r="45" spans="1:2" x14ac:dyDescent="0.3">
      <c r="A45" s="50" t="s">
        <v>42</v>
      </c>
      <c r="B45" s="51">
        <v>14.458233999999999</v>
      </c>
    </row>
    <row r="46" spans="1:2" x14ac:dyDescent="0.3">
      <c r="A46" s="50" t="s">
        <v>43</v>
      </c>
      <c r="B46" s="51">
        <v>4.4249739999999997</v>
      </c>
    </row>
    <row r="47" spans="1:2" x14ac:dyDescent="0.3">
      <c r="A47" s="50" t="s">
        <v>44</v>
      </c>
      <c r="B47" s="51">
        <v>5.2113199999999997</v>
      </c>
    </row>
    <row r="48" spans="1:2" x14ac:dyDescent="0.3">
      <c r="A48" s="50" t="s">
        <v>45</v>
      </c>
      <c r="B48" s="51">
        <v>20.196272</v>
      </c>
    </row>
    <row r="49" spans="1:2" x14ac:dyDescent="0.3">
      <c r="A49" s="48" t="s">
        <v>46</v>
      </c>
      <c r="B49" s="49">
        <v>28.939643</v>
      </c>
    </row>
    <row r="50" spans="1:2" x14ac:dyDescent="0.3">
      <c r="A50" s="50" t="s">
        <v>47</v>
      </c>
      <c r="B50" s="51">
        <v>19.604814000000001</v>
      </c>
    </row>
    <row r="51" spans="1:2" x14ac:dyDescent="0.3">
      <c r="A51" s="50" t="s">
        <v>48</v>
      </c>
      <c r="B51" s="51">
        <v>83.072439000000003</v>
      </c>
    </row>
    <row r="52" spans="1:2" x14ac:dyDescent="0.3">
      <c r="A52" s="48" t="s">
        <v>49</v>
      </c>
      <c r="B52" s="49">
        <v>17.780380999999998</v>
      </c>
    </row>
    <row r="53" spans="1:2" x14ac:dyDescent="0.3">
      <c r="A53" s="50" t="s">
        <v>50</v>
      </c>
      <c r="B53" s="51">
        <v>0.647841</v>
      </c>
    </row>
    <row r="54" spans="1:2" x14ac:dyDescent="0.3">
      <c r="A54" s="50" t="s">
        <v>51</v>
      </c>
      <c r="B54" s="51">
        <v>8.2087070000000004</v>
      </c>
    </row>
    <row r="55" spans="1:2" x14ac:dyDescent="0.3">
      <c r="A55" s="50" t="s">
        <v>52</v>
      </c>
      <c r="B55" s="51">
        <v>16.724692000000001</v>
      </c>
    </row>
    <row r="56" spans="1:2" x14ac:dyDescent="0.3">
      <c r="A56" s="50" t="s">
        <v>53</v>
      </c>
      <c r="B56" s="51">
        <v>5.2861399999999996</v>
      </c>
    </row>
    <row r="57" spans="1:2" x14ac:dyDescent="0.3">
      <c r="A57" s="48" t="s">
        <v>54</v>
      </c>
      <c r="B57" s="49">
        <v>2.1105969999999998</v>
      </c>
    </row>
    <row r="58" spans="1:2" x14ac:dyDescent="0.3">
      <c r="A58" s="50" t="s">
        <v>55</v>
      </c>
      <c r="B58" s="51">
        <v>5.3179090000000002</v>
      </c>
    </row>
    <row r="59" spans="1:2" x14ac:dyDescent="0.3">
      <c r="A59" s="50" t="s">
        <v>56</v>
      </c>
      <c r="B59" s="51">
        <v>3.2439999999999999E-3</v>
      </c>
    </row>
    <row r="60" spans="1:2" x14ac:dyDescent="0.3">
      <c r="A60" s="50" t="s">
        <v>57</v>
      </c>
      <c r="B60" s="51">
        <v>4.37E-4</v>
      </c>
    </row>
    <row r="61" spans="1:2" x14ac:dyDescent="0.3">
      <c r="A61" s="53" t="s">
        <v>58</v>
      </c>
      <c r="B61" s="54">
        <v>0.44257200000000002</v>
      </c>
    </row>
    <row r="62" spans="1:2" x14ac:dyDescent="0.3">
      <c r="A62" s="55"/>
      <c r="B62" s="46"/>
    </row>
    <row r="63" spans="1:2" x14ac:dyDescent="0.3">
      <c r="A63" s="56"/>
      <c r="B63" s="46"/>
    </row>
    <row r="64" spans="1:2" x14ac:dyDescent="0.3">
      <c r="A64" s="52"/>
      <c r="B64" s="46"/>
    </row>
  </sheetData>
  <mergeCells count="1">
    <mergeCell ref="A1:B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008E4-D16D-4DEA-9F83-E9087E09CF22}">
  <dimension ref="A1:B64"/>
  <sheetViews>
    <sheetView workbookViewId="0">
      <selection activeCell="F51" sqref="F51"/>
    </sheetView>
  </sheetViews>
  <sheetFormatPr defaultRowHeight="14.4" x14ac:dyDescent="0.3"/>
  <cols>
    <col min="1" max="1" width="36.44140625" customWidth="1"/>
    <col min="2" max="2" width="15.109375" customWidth="1"/>
  </cols>
  <sheetData>
    <row r="1" spans="1:2" x14ac:dyDescent="0.3">
      <c r="A1" s="102" t="s">
        <v>74</v>
      </c>
      <c r="B1" s="103"/>
    </row>
    <row r="3" spans="1:2" x14ac:dyDescent="0.3">
      <c r="A3" s="58"/>
      <c r="B3" s="58">
        <v>2018</v>
      </c>
    </row>
    <row r="4" spans="1:2" x14ac:dyDescent="0.3">
      <c r="A4" s="59" t="s">
        <v>1</v>
      </c>
      <c r="B4" s="60">
        <v>7.4733210000000003</v>
      </c>
    </row>
    <row r="5" spans="1:2" x14ac:dyDescent="0.3">
      <c r="A5" s="59" t="s">
        <v>2</v>
      </c>
      <c r="B5" s="60">
        <v>10.404752999999999</v>
      </c>
    </row>
    <row r="6" spans="1:2" x14ac:dyDescent="0.3">
      <c r="A6" s="59" t="s">
        <v>3</v>
      </c>
      <c r="B6" s="60">
        <v>10.636281</v>
      </c>
    </row>
    <row r="7" spans="1:2" x14ac:dyDescent="0.3">
      <c r="A7" s="59" t="s">
        <v>4</v>
      </c>
      <c r="B7" s="60">
        <v>6.6854719999999999</v>
      </c>
    </row>
    <row r="8" spans="1:2" x14ac:dyDescent="0.3">
      <c r="A8" s="59" t="s">
        <v>5</v>
      </c>
      <c r="B8" s="60">
        <v>14.660576000000001</v>
      </c>
    </row>
    <row r="9" spans="1:2" x14ac:dyDescent="0.3">
      <c r="A9" s="59" t="s">
        <v>6</v>
      </c>
      <c r="B9" s="60">
        <v>15.809619</v>
      </c>
    </row>
    <row r="10" spans="1:2" x14ac:dyDescent="0.3">
      <c r="A10" s="61" t="s">
        <v>7</v>
      </c>
      <c r="B10" s="62">
        <v>14.752632</v>
      </c>
    </row>
    <row r="11" spans="1:2" x14ac:dyDescent="0.3">
      <c r="A11" s="61" t="s">
        <v>8</v>
      </c>
      <c r="B11" s="62">
        <v>3.459028</v>
      </c>
    </row>
    <row r="12" spans="1:2" x14ac:dyDescent="0.3">
      <c r="A12" s="61" t="s">
        <v>9</v>
      </c>
      <c r="B12" s="62">
        <v>6.8447899999999997</v>
      </c>
    </row>
    <row r="13" spans="1:2" x14ac:dyDescent="0.3">
      <c r="A13" s="61" t="s">
        <v>10</v>
      </c>
      <c r="B13" s="62">
        <v>25.025895999999999</v>
      </c>
    </row>
    <row r="14" spans="1:2" x14ac:dyDescent="0.3">
      <c r="A14" s="61" t="s">
        <v>11</v>
      </c>
      <c r="B14" s="62">
        <v>16.335108000000002</v>
      </c>
    </row>
    <row r="15" spans="1:2" x14ac:dyDescent="0.3">
      <c r="A15" s="61" t="s">
        <v>12</v>
      </c>
      <c r="B15" s="62">
        <v>11.721871999999999</v>
      </c>
    </row>
    <row r="16" spans="1:2" x14ac:dyDescent="0.3">
      <c r="A16" s="61" t="s">
        <v>13</v>
      </c>
      <c r="B16" s="62">
        <v>7.7278180000000001</v>
      </c>
    </row>
    <row r="17" spans="1:2" x14ac:dyDescent="0.3">
      <c r="A17" s="61" t="s">
        <v>14</v>
      </c>
      <c r="B17" s="62">
        <v>23.370864000000001</v>
      </c>
    </row>
    <row r="18" spans="1:2" x14ac:dyDescent="0.3">
      <c r="A18" s="61" t="s">
        <v>15</v>
      </c>
      <c r="B18" s="62">
        <v>12.522257</v>
      </c>
    </row>
    <row r="19" spans="1:2" x14ac:dyDescent="0.3">
      <c r="A19" s="61" t="s">
        <v>16</v>
      </c>
      <c r="B19" s="62">
        <v>23.256806999999998</v>
      </c>
    </row>
    <row r="20" spans="1:2" x14ac:dyDescent="0.3">
      <c r="A20" s="61" t="s">
        <v>17</v>
      </c>
      <c r="B20" s="62">
        <v>10.393224</v>
      </c>
    </row>
    <row r="21" spans="1:2" x14ac:dyDescent="0.3">
      <c r="A21" s="61" t="s">
        <v>18</v>
      </c>
      <c r="B21" s="62">
        <v>21.020347999999998</v>
      </c>
    </row>
    <row r="22" spans="1:2" x14ac:dyDescent="0.3">
      <c r="A22" s="61" t="s">
        <v>19</v>
      </c>
      <c r="B22" s="62">
        <v>2.6296110000000001</v>
      </c>
    </row>
    <row r="23" spans="1:2" x14ac:dyDescent="0.3">
      <c r="A23" s="61" t="s">
        <v>20</v>
      </c>
      <c r="B23" s="62">
        <v>12.025518999999999</v>
      </c>
    </row>
    <row r="24" spans="1:2" x14ac:dyDescent="0.3">
      <c r="A24" s="59" t="s">
        <v>21</v>
      </c>
      <c r="B24" s="60">
        <v>0.27319500000000002</v>
      </c>
    </row>
    <row r="25" spans="1:2" x14ac:dyDescent="0.3">
      <c r="A25" s="61" t="s">
        <v>22</v>
      </c>
      <c r="B25" s="62">
        <v>0.49740400000000001</v>
      </c>
    </row>
    <row r="26" spans="1:2" x14ac:dyDescent="0.3">
      <c r="A26" s="61" t="s">
        <v>23</v>
      </c>
      <c r="B26" s="62">
        <v>0.123083</v>
      </c>
    </row>
    <row r="27" spans="1:2" x14ac:dyDescent="0.3">
      <c r="A27" s="61" t="s">
        <v>24</v>
      </c>
      <c r="B27" s="62">
        <v>1.2266520000000001</v>
      </c>
    </row>
    <row r="28" spans="1:2" x14ac:dyDescent="0.3">
      <c r="A28" s="61" t="s">
        <v>25</v>
      </c>
      <c r="B28" s="62">
        <v>0</v>
      </c>
    </row>
    <row r="29" spans="1:2" x14ac:dyDescent="0.3">
      <c r="A29" s="59" t="s">
        <v>26</v>
      </c>
      <c r="B29" s="60">
        <v>7.9645080000000004</v>
      </c>
    </row>
    <row r="30" spans="1:2" x14ac:dyDescent="0.3">
      <c r="A30" s="59" t="s">
        <v>27</v>
      </c>
      <c r="B30" s="60">
        <v>8.4529530000000008</v>
      </c>
    </row>
    <row r="31" spans="1:2" x14ac:dyDescent="0.3">
      <c r="A31" s="61" t="s">
        <v>28</v>
      </c>
      <c r="B31" s="62">
        <v>5.2961150000000004</v>
      </c>
    </row>
    <row r="32" spans="1:2" x14ac:dyDescent="0.3">
      <c r="A32" s="61" t="s">
        <v>29</v>
      </c>
      <c r="B32" s="62">
        <v>8.9254789999999993</v>
      </c>
    </row>
    <row r="33" spans="1:2" x14ac:dyDescent="0.3">
      <c r="A33" s="59" t="s">
        <v>30</v>
      </c>
      <c r="B33" s="60">
        <v>6.4202009999999996</v>
      </c>
    </row>
    <row r="34" spans="1:2" x14ac:dyDescent="0.3">
      <c r="A34" s="61" t="s">
        <v>31</v>
      </c>
      <c r="B34" s="62">
        <v>0.95628100000000005</v>
      </c>
    </row>
    <row r="35" spans="1:2" x14ac:dyDescent="0.3">
      <c r="A35" s="61" t="s">
        <v>32</v>
      </c>
      <c r="B35" s="62">
        <v>8.7533259999999995</v>
      </c>
    </row>
    <row r="36" spans="1:2" x14ac:dyDescent="0.3">
      <c r="A36" s="61" t="s">
        <v>33</v>
      </c>
      <c r="B36" s="62">
        <v>11.067327000000001</v>
      </c>
    </row>
    <row r="37" spans="1:2" x14ac:dyDescent="0.3">
      <c r="A37" s="61" t="s">
        <v>34</v>
      </c>
      <c r="B37" s="62">
        <v>5.4228999999999999E-2</v>
      </c>
    </row>
    <row r="38" spans="1:2" x14ac:dyDescent="0.3">
      <c r="A38" s="61" t="s">
        <v>35</v>
      </c>
      <c r="B38" s="62">
        <v>6.2829740000000003</v>
      </c>
    </row>
    <row r="39" spans="1:2" x14ac:dyDescent="0.3">
      <c r="A39" s="61" t="s">
        <v>36</v>
      </c>
      <c r="B39" s="62">
        <v>0</v>
      </c>
    </row>
    <row r="40" spans="1:2" x14ac:dyDescent="0.3">
      <c r="A40" s="59" t="s">
        <v>37</v>
      </c>
      <c r="B40" s="60">
        <v>6.7874879999999997</v>
      </c>
    </row>
    <row r="41" spans="1:2" x14ac:dyDescent="0.3">
      <c r="A41" s="61" t="s">
        <v>38</v>
      </c>
      <c r="B41" s="62">
        <v>7.7482509999999998</v>
      </c>
    </row>
    <row r="42" spans="1:2" x14ac:dyDescent="0.3">
      <c r="A42" s="61" t="s">
        <v>39</v>
      </c>
      <c r="B42" s="62">
        <v>6.3963289999999997</v>
      </c>
    </row>
    <row r="43" spans="1:2" x14ac:dyDescent="0.3">
      <c r="A43" s="61" t="s">
        <v>40</v>
      </c>
      <c r="B43" s="62">
        <v>5.2052860000000001</v>
      </c>
    </row>
    <row r="44" spans="1:2" x14ac:dyDescent="0.3">
      <c r="A44" s="61" t="s">
        <v>41</v>
      </c>
      <c r="B44" s="62">
        <v>9.5873790000000003</v>
      </c>
    </row>
    <row r="45" spans="1:2" x14ac:dyDescent="0.3">
      <c r="A45" s="61" t="s">
        <v>42</v>
      </c>
      <c r="B45" s="62">
        <v>0.260376</v>
      </c>
    </row>
    <row r="46" spans="1:2" x14ac:dyDescent="0.3">
      <c r="A46" s="61" t="s">
        <v>43</v>
      </c>
      <c r="B46" s="62">
        <v>2.1814689999999999</v>
      </c>
    </row>
    <row r="47" spans="1:2" x14ac:dyDescent="0.3">
      <c r="A47" s="61" t="s">
        <v>44</v>
      </c>
      <c r="B47" s="62">
        <v>1.615383</v>
      </c>
    </row>
    <row r="48" spans="1:2" x14ac:dyDescent="0.3">
      <c r="A48" s="61" t="s">
        <v>45</v>
      </c>
      <c r="B48" s="62">
        <v>3.368271</v>
      </c>
    </row>
    <row r="49" spans="1:2" x14ac:dyDescent="0.3">
      <c r="A49" s="59" t="s">
        <v>46</v>
      </c>
      <c r="B49" s="60">
        <v>11.767037999999999</v>
      </c>
    </row>
    <row r="50" spans="1:2" x14ac:dyDescent="0.3">
      <c r="A50" s="61" t="s">
        <v>47</v>
      </c>
      <c r="B50" s="62">
        <v>10.146843000000001</v>
      </c>
    </row>
    <row r="51" spans="1:2" x14ac:dyDescent="0.3">
      <c r="A51" s="61" t="s">
        <v>48</v>
      </c>
      <c r="B51" s="62">
        <v>21.944132</v>
      </c>
    </row>
    <row r="52" spans="1:2" x14ac:dyDescent="0.3">
      <c r="A52" s="59" t="s">
        <v>49</v>
      </c>
      <c r="B52" s="60">
        <v>2.6128629999999999</v>
      </c>
    </row>
    <row r="53" spans="1:2" x14ac:dyDescent="0.3">
      <c r="A53" s="61" t="s">
        <v>50</v>
      </c>
      <c r="B53" s="62">
        <v>0.45206000000000002</v>
      </c>
    </row>
    <row r="54" spans="1:2" x14ac:dyDescent="0.3">
      <c r="A54" s="61" t="s">
        <v>51</v>
      </c>
      <c r="B54" s="62">
        <v>1.6308609999999999</v>
      </c>
    </row>
    <row r="55" spans="1:2" x14ac:dyDescent="0.3">
      <c r="A55" s="61" t="s">
        <v>52</v>
      </c>
      <c r="B55" s="62">
        <v>0</v>
      </c>
    </row>
    <row r="56" spans="1:2" x14ac:dyDescent="0.3">
      <c r="A56" s="61" t="s">
        <v>53</v>
      </c>
      <c r="B56" s="62">
        <v>3.1931590000000001</v>
      </c>
    </row>
    <row r="57" spans="1:2" x14ac:dyDescent="0.3">
      <c r="A57" s="59" t="s">
        <v>54</v>
      </c>
      <c r="B57" s="60">
        <v>0.480823</v>
      </c>
    </row>
    <row r="58" spans="1:2" x14ac:dyDescent="0.3">
      <c r="A58" s="61" t="s">
        <v>55</v>
      </c>
      <c r="B58" s="62">
        <v>0.166467</v>
      </c>
    </row>
    <row r="59" spans="1:2" x14ac:dyDescent="0.3">
      <c r="A59" s="61" t="s">
        <v>56</v>
      </c>
      <c r="B59" s="62">
        <v>3.2439999999999999E-3</v>
      </c>
    </row>
    <row r="60" spans="1:2" x14ac:dyDescent="0.3">
      <c r="A60" s="61" t="s">
        <v>57</v>
      </c>
      <c r="B60" s="62">
        <v>4.37E-4</v>
      </c>
    </row>
    <row r="61" spans="1:2" x14ac:dyDescent="0.3">
      <c r="A61" s="64" t="s">
        <v>58</v>
      </c>
      <c r="B61" s="65">
        <v>0.44257200000000002</v>
      </c>
    </row>
    <row r="62" spans="1:2" x14ac:dyDescent="0.3">
      <c r="A62" s="66"/>
      <c r="B62" s="57"/>
    </row>
    <row r="63" spans="1:2" x14ac:dyDescent="0.3">
      <c r="A63" s="67"/>
      <c r="B63" s="57"/>
    </row>
    <row r="64" spans="1:2" x14ac:dyDescent="0.3">
      <c r="A64" s="63"/>
      <c r="B64" s="57"/>
    </row>
  </sheetData>
  <mergeCells count="1"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8F1DB-9679-4D05-8462-11987E3E4429}">
  <dimension ref="A1:E61"/>
  <sheetViews>
    <sheetView workbookViewId="0">
      <selection activeCell="E9" sqref="E9"/>
    </sheetView>
  </sheetViews>
  <sheetFormatPr defaultRowHeight="14.4" x14ac:dyDescent="0.3"/>
  <cols>
    <col min="1" max="1" width="27.6640625" customWidth="1"/>
    <col min="2" max="2" width="17.109375" customWidth="1"/>
  </cols>
  <sheetData>
    <row r="1" spans="1:5" x14ac:dyDescent="0.3">
      <c r="A1" s="102" t="s">
        <v>60</v>
      </c>
      <c r="B1" s="103"/>
    </row>
    <row r="3" spans="1:5" x14ac:dyDescent="0.3">
      <c r="A3" s="84"/>
      <c r="B3" s="84">
        <v>2018</v>
      </c>
    </row>
    <row r="4" spans="1:5" x14ac:dyDescent="0.3">
      <c r="A4" s="85" t="s">
        <v>1</v>
      </c>
      <c r="B4" s="88">
        <v>32915.94</v>
      </c>
    </row>
    <row r="5" spans="1:5" x14ac:dyDescent="0.3">
      <c r="A5" s="85" t="s">
        <v>2</v>
      </c>
      <c r="B5" s="88">
        <v>12151.12</v>
      </c>
    </row>
    <row r="6" spans="1:5" x14ac:dyDescent="0.3">
      <c r="A6" s="85" t="s">
        <v>3</v>
      </c>
      <c r="B6" s="88">
        <v>8560.11</v>
      </c>
    </row>
    <row r="7" spans="1:5" x14ac:dyDescent="0.3">
      <c r="A7" s="85" t="s">
        <v>4</v>
      </c>
      <c r="B7" s="88">
        <v>14345.28</v>
      </c>
    </row>
    <row r="8" spans="1:5" x14ac:dyDescent="0.3">
      <c r="A8" s="85" t="s">
        <v>5</v>
      </c>
      <c r="B8" s="88">
        <v>3838.92</v>
      </c>
    </row>
    <row r="9" spans="1:5" x14ac:dyDescent="0.3">
      <c r="A9" s="85" t="s">
        <v>6</v>
      </c>
      <c r="B9" s="88">
        <v>3283.75</v>
      </c>
      <c r="E9" s="69"/>
    </row>
    <row r="10" spans="1:5" x14ac:dyDescent="0.3">
      <c r="A10" s="86" t="s">
        <v>7</v>
      </c>
      <c r="B10" s="88">
        <v>96.9</v>
      </c>
    </row>
    <row r="11" spans="1:5" x14ac:dyDescent="0.3">
      <c r="A11" s="86" t="s">
        <v>8</v>
      </c>
      <c r="B11" s="88">
        <v>100.91</v>
      </c>
    </row>
    <row r="12" spans="1:5" x14ac:dyDescent="0.3">
      <c r="A12" s="86" t="s">
        <v>9</v>
      </c>
      <c r="B12" s="88">
        <v>301.87</v>
      </c>
    </row>
    <row r="13" spans="1:5" x14ac:dyDescent="0.3">
      <c r="A13" s="86" t="s">
        <v>10</v>
      </c>
      <c r="B13" s="88">
        <v>732.82</v>
      </c>
    </row>
    <row r="14" spans="1:5" x14ac:dyDescent="0.3">
      <c r="A14" s="86" t="s">
        <v>11</v>
      </c>
      <c r="B14" s="88">
        <v>326.56</v>
      </c>
    </row>
    <row r="15" spans="1:5" x14ac:dyDescent="0.3">
      <c r="A15" s="86" t="s">
        <v>12</v>
      </c>
      <c r="B15" s="88">
        <v>179.59</v>
      </c>
    </row>
    <row r="16" spans="1:5" x14ac:dyDescent="0.3">
      <c r="A16" s="86" t="s">
        <v>13</v>
      </c>
      <c r="B16" s="88">
        <v>329.15</v>
      </c>
    </row>
    <row r="17" spans="1:2" x14ac:dyDescent="0.3">
      <c r="A17" s="86" t="s">
        <v>14</v>
      </c>
      <c r="B17" s="88">
        <v>50.19</v>
      </c>
    </row>
    <row r="18" spans="1:2" x14ac:dyDescent="0.3">
      <c r="A18" s="86" t="s">
        <v>15</v>
      </c>
      <c r="B18" s="88">
        <v>68.56</v>
      </c>
    </row>
    <row r="19" spans="1:2" x14ac:dyDescent="0.3">
      <c r="A19" s="86" t="s">
        <v>16</v>
      </c>
      <c r="B19" s="88">
        <v>254.99</v>
      </c>
    </row>
    <row r="20" spans="1:2" x14ac:dyDescent="0.3">
      <c r="A20" s="86" t="s">
        <v>17</v>
      </c>
      <c r="B20" s="88">
        <v>39.22</v>
      </c>
    </row>
    <row r="21" spans="1:2" x14ac:dyDescent="0.3">
      <c r="A21" s="86" t="s">
        <v>18</v>
      </c>
      <c r="B21" s="88">
        <v>361.76</v>
      </c>
    </row>
    <row r="22" spans="1:2" x14ac:dyDescent="0.3">
      <c r="A22" s="86" t="s">
        <v>19</v>
      </c>
      <c r="B22" s="88">
        <v>38.520000000000003</v>
      </c>
    </row>
    <row r="23" spans="1:2" x14ac:dyDescent="0.3">
      <c r="A23" s="86" t="s">
        <v>20</v>
      </c>
      <c r="B23" s="88">
        <v>385.26</v>
      </c>
    </row>
    <row r="24" spans="1:2" x14ac:dyDescent="0.3">
      <c r="A24" s="85" t="s">
        <v>21</v>
      </c>
      <c r="B24" s="88">
        <v>2427.21</v>
      </c>
    </row>
    <row r="25" spans="1:2" x14ac:dyDescent="0.3">
      <c r="A25" s="86" t="s">
        <v>22</v>
      </c>
      <c r="B25" s="88">
        <v>246.8</v>
      </c>
    </row>
    <row r="26" spans="1:2" x14ac:dyDescent="0.3">
      <c r="A26" s="86" t="s">
        <v>23</v>
      </c>
      <c r="B26" s="88">
        <v>1754.59</v>
      </c>
    </row>
    <row r="27" spans="1:2" x14ac:dyDescent="0.3">
      <c r="A27" s="86" t="s">
        <v>24</v>
      </c>
      <c r="B27" s="88">
        <v>174.79</v>
      </c>
    </row>
    <row r="28" spans="1:2" x14ac:dyDescent="0.3">
      <c r="A28" s="86" t="s">
        <v>25</v>
      </c>
      <c r="B28" s="88">
        <v>92.05</v>
      </c>
    </row>
    <row r="29" spans="1:2" x14ac:dyDescent="0.3">
      <c r="A29" s="85" t="s">
        <v>26</v>
      </c>
      <c r="B29" s="88">
        <v>7285.68</v>
      </c>
    </row>
    <row r="30" spans="1:2" x14ac:dyDescent="0.3">
      <c r="A30" s="85" t="s">
        <v>27</v>
      </c>
      <c r="B30" s="88">
        <v>5714.06</v>
      </c>
    </row>
    <row r="31" spans="1:2" x14ac:dyDescent="0.3">
      <c r="A31" s="86" t="s">
        <v>28</v>
      </c>
      <c r="B31" s="88">
        <v>596.29</v>
      </c>
    </row>
    <row r="32" spans="1:2" x14ac:dyDescent="0.3">
      <c r="A32" s="86" t="s">
        <v>29</v>
      </c>
      <c r="B32" s="88">
        <v>5117.7700000000004</v>
      </c>
    </row>
    <row r="33" spans="1:2" x14ac:dyDescent="0.3">
      <c r="A33" s="85" t="s">
        <v>30</v>
      </c>
      <c r="B33" s="88">
        <v>1571.62</v>
      </c>
    </row>
    <row r="34" spans="1:2" x14ac:dyDescent="0.3">
      <c r="A34" s="86" t="s">
        <v>31</v>
      </c>
      <c r="B34" s="88">
        <v>185.41</v>
      </c>
    </row>
    <row r="35" spans="1:2" x14ac:dyDescent="0.3">
      <c r="A35" s="86" t="s">
        <v>32</v>
      </c>
      <c r="B35" s="88">
        <v>419.5</v>
      </c>
    </row>
    <row r="36" spans="1:2" x14ac:dyDescent="0.3">
      <c r="A36" s="86" t="s">
        <v>33</v>
      </c>
      <c r="B36" s="88">
        <v>88.88</v>
      </c>
    </row>
    <row r="37" spans="1:2" x14ac:dyDescent="0.3">
      <c r="A37" s="86" t="s">
        <v>34</v>
      </c>
      <c r="B37" s="88">
        <v>76.489999999999995</v>
      </c>
    </row>
    <row r="38" spans="1:2" x14ac:dyDescent="0.3">
      <c r="A38" s="86" t="s">
        <v>35</v>
      </c>
      <c r="B38" s="88">
        <v>429.92</v>
      </c>
    </row>
    <row r="39" spans="1:2" x14ac:dyDescent="0.3">
      <c r="A39" s="86" t="s">
        <v>36</v>
      </c>
      <c r="B39" s="88">
        <v>103.29</v>
      </c>
    </row>
    <row r="40" spans="1:2" x14ac:dyDescent="0.3">
      <c r="A40" s="85" t="s">
        <v>37</v>
      </c>
      <c r="B40" s="88">
        <v>15655.38</v>
      </c>
    </row>
    <row r="41" spans="1:2" x14ac:dyDescent="0.3">
      <c r="A41" s="86" t="s">
        <v>38</v>
      </c>
      <c r="B41" s="88">
        <v>9466.5</v>
      </c>
    </row>
    <row r="42" spans="1:2" x14ac:dyDescent="0.3">
      <c r="A42" s="86" t="s">
        <v>39</v>
      </c>
      <c r="B42" s="88">
        <v>2276.9499999999998</v>
      </c>
    </row>
    <row r="43" spans="1:2" x14ac:dyDescent="0.3">
      <c r="A43" s="86" t="s">
        <v>40</v>
      </c>
      <c r="B43" s="88">
        <v>522.23</v>
      </c>
    </row>
    <row r="44" spans="1:2" x14ac:dyDescent="0.3">
      <c r="A44" s="86" t="s">
        <v>41</v>
      </c>
      <c r="B44" s="88">
        <v>1123.04</v>
      </c>
    </row>
    <row r="45" spans="1:2" x14ac:dyDescent="0.3">
      <c r="A45" s="86" t="s">
        <v>42</v>
      </c>
      <c r="B45" s="88">
        <v>236.1</v>
      </c>
    </row>
    <row r="46" spans="1:2" x14ac:dyDescent="0.3">
      <c r="A46" s="86" t="s">
        <v>43</v>
      </c>
      <c r="B46" s="88">
        <v>703.99</v>
      </c>
    </row>
    <row r="47" spans="1:2" x14ac:dyDescent="0.3">
      <c r="A47" s="86" t="s">
        <v>44</v>
      </c>
      <c r="B47" s="88">
        <v>281.81</v>
      </c>
    </row>
    <row r="48" spans="1:2" x14ac:dyDescent="0.3">
      <c r="A48" s="86" t="s">
        <v>45</v>
      </c>
      <c r="B48" s="88">
        <v>268.22000000000003</v>
      </c>
    </row>
    <row r="49" spans="1:2" x14ac:dyDescent="0.3">
      <c r="A49" s="85" t="s">
        <v>46</v>
      </c>
      <c r="B49" s="88">
        <v>441.66</v>
      </c>
    </row>
    <row r="50" spans="1:2" x14ac:dyDescent="0.3">
      <c r="A50" s="86" t="s">
        <v>47</v>
      </c>
      <c r="B50" s="88">
        <v>403.11</v>
      </c>
    </row>
    <row r="51" spans="1:2" x14ac:dyDescent="0.3">
      <c r="A51" s="86" t="s">
        <v>48</v>
      </c>
      <c r="B51" s="88">
        <v>31.12</v>
      </c>
    </row>
    <row r="52" spans="1:2" x14ac:dyDescent="0.3">
      <c r="A52" s="85" t="s">
        <v>49</v>
      </c>
      <c r="B52" s="88">
        <v>1326.43</v>
      </c>
    </row>
    <row r="53" spans="1:2" x14ac:dyDescent="0.3">
      <c r="A53" s="86" t="s">
        <v>50</v>
      </c>
      <c r="B53" s="88">
        <v>143.76</v>
      </c>
    </row>
    <row r="54" spans="1:2" x14ac:dyDescent="0.3">
      <c r="A54" s="86" t="s">
        <v>51</v>
      </c>
      <c r="B54" s="88">
        <v>212.8</v>
      </c>
    </row>
    <row r="55" spans="1:2" x14ac:dyDescent="0.3">
      <c r="A55" s="86" t="s">
        <v>52</v>
      </c>
      <c r="B55" s="88">
        <v>99.38</v>
      </c>
    </row>
    <row r="56" spans="1:2" x14ac:dyDescent="0.3">
      <c r="A56" s="86" t="s">
        <v>53</v>
      </c>
      <c r="B56" s="88">
        <v>427.73</v>
      </c>
    </row>
    <row r="57" spans="1:2" x14ac:dyDescent="0.3">
      <c r="A57" s="85" t="s">
        <v>54</v>
      </c>
      <c r="B57" s="88">
        <v>1940.66</v>
      </c>
    </row>
    <row r="58" spans="1:2" x14ac:dyDescent="0.3">
      <c r="A58" s="86" t="s">
        <v>55</v>
      </c>
      <c r="B58" s="88">
        <v>631.77</v>
      </c>
    </row>
    <row r="59" spans="1:2" x14ac:dyDescent="0.3">
      <c r="A59" s="86" t="s">
        <v>56</v>
      </c>
      <c r="B59" s="88">
        <v>91.63</v>
      </c>
    </row>
    <row r="60" spans="1:2" x14ac:dyDescent="0.3">
      <c r="A60" s="86" t="s">
        <v>57</v>
      </c>
      <c r="B60" s="88">
        <v>535.67999999999995</v>
      </c>
    </row>
    <row r="61" spans="1:2" x14ac:dyDescent="0.3">
      <c r="A61" s="87" t="s">
        <v>58</v>
      </c>
      <c r="B61" s="89">
        <v>188.5</v>
      </c>
    </row>
  </sheetData>
  <mergeCells count="1">
    <mergeCell ref="A1:B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A54FF-2169-4BC6-9FB0-B6647E6CE5D7}">
  <dimension ref="A1:L57"/>
  <sheetViews>
    <sheetView workbookViewId="0">
      <selection activeCell="D5" sqref="D5"/>
    </sheetView>
  </sheetViews>
  <sheetFormatPr defaultRowHeight="14.4" x14ac:dyDescent="0.3"/>
  <cols>
    <col min="1" max="1" width="18.44140625" bestFit="1" customWidth="1"/>
    <col min="2" max="2" width="22.33203125" bestFit="1" customWidth="1"/>
    <col min="3" max="5" width="12.21875" customWidth="1"/>
    <col min="6" max="6" width="12.21875" style="11" customWidth="1"/>
    <col min="7" max="9" width="12.21875" customWidth="1"/>
  </cols>
  <sheetData>
    <row r="1" spans="1:12" x14ac:dyDescent="0.3">
      <c r="A1" s="72" t="s">
        <v>486</v>
      </c>
      <c r="B1" s="72" t="s">
        <v>485</v>
      </c>
      <c r="C1" s="72" t="s">
        <v>76</v>
      </c>
      <c r="D1" s="72" t="s">
        <v>77</v>
      </c>
      <c r="E1" s="72" t="s">
        <v>78</v>
      </c>
      <c r="F1" s="72" t="s">
        <v>79</v>
      </c>
      <c r="G1" s="72" t="s">
        <v>86</v>
      </c>
      <c r="H1" s="72" t="s">
        <v>80</v>
      </c>
      <c r="I1" s="72" t="s">
        <v>81</v>
      </c>
      <c r="J1" s="72" t="s">
        <v>82</v>
      </c>
    </row>
    <row r="2" spans="1:12" ht="15.6" customHeight="1" x14ac:dyDescent="0.3">
      <c r="A2" s="71" t="s">
        <v>7</v>
      </c>
      <c r="B2" s="98" t="str">
        <f>VLOOKUP(A2,region!$B$2:$M$198,2,FALSE)</f>
        <v>europe</v>
      </c>
      <c r="C2" s="68">
        <f>VLOOKUP(A2,p.greggio!A10:B67,2,FALSE)</f>
        <v>0</v>
      </c>
      <c r="D2" s="68">
        <f>VLOOKUP(A2,p.raffinati!A10:B67,2,FALSE)</f>
        <v>33.923000000000002</v>
      </c>
      <c r="E2" s="68">
        <f>VLOOKUP(A2,p.coalignite!A10:B67,2,FALSE)</f>
        <v>1.8285713999999998E-2</v>
      </c>
      <c r="F2" s="68">
        <f>VLOOKUP(A2,p.gas!A10:B67,2,FALSE)</f>
        <v>0</v>
      </c>
      <c r="G2" s="68">
        <f>VLOOKUP(A2,p.ele!A10:B67,2,FALSE)</f>
        <v>74.460825182999997</v>
      </c>
      <c r="H2" s="70">
        <f>VLOOKUP(A2,s.elerinnov!A10:B67,2,FALSE)/100</f>
        <v>0.23302485999999997</v>
      </c>
      <c r="I2" s="70">
        <f>VLOOKUP(A2,s.windsolar!A10:B67,2,FALSE)/100</f>
        <v>0.14752631999999999</v>
      </c>
      <c r="J2" s="68">
        <f>VLOOKUP(A2,'co2'!A10:B67,2,FALSE)</f>
        <v>96.9</v>
      </c>
    </row>
    <row r="3" spans="1:12" ht="15.6" customHeight="1" x14ac:dyDescent="0.3">
      <c r="A3" s="71" t="s">
        <v>8</v>
      </c>
      <c r="B3" s="98" t="str">
        <f>VLOOKUP(A3,region!$B$2:$M$198,2,FALSE)</f>
        <v>europe</v>
      </c>
      <c r="C3" s="68">
        <f>VLOOKUP(A3,p.greggio!A11:B68,2,FALSE)</f>
        <v>0.202619522</v>
      </c>
      <c r="D3" s="68">
        <f>VLOOKUP(A3,p.raffinati!A11:B68,2,FALSE)</f>
        <v>7.8425204490000002</v>
      </c>
      <c r="E3" s="68">
        <f>VLOOKUP(A3,p.coalignite!A11:B68,2,FALSE)</f>
        <v>43.739529155</v>
      </c>
      <c r="F3" s="68">
        <f>VLOOKUP(A3,p.gas!A11:B68,2,FALSE)</f>
        <v>0.218029156</v>
      </c>
      <c r="G3" s="68">
        <f>VLOOKUP(A3,p.ele!A11:B68,2,FALSE)</f>
        <v>88.012738803000005</v>
      </c>
      <c r="H3" s="70">
        <f>VLOOKUP(A3,s.elerinnov!A11:B68,2,FALSE)/100</f>
        <v>0.11904241</v>
      </c>
      <c r="I3" s="70">
        <f>VLOOKUP(A3,s.windsolar!A11:B68,2,FALSE)/100</f>
        <v>3.4590280000000001E-2</v>
      </c>
      <c r="J3" s="68">
        <f>VLOOKUP(A3,'co2'!A11:B68,2,FALSE)</f>
        <v>100.91</v>
      </c>
      <c r="L3" s="69"/>
    </row>
    <row r="4" spans="1:12" ht="15.6" customHeight="1" x14ac:dyDescent="0.3">
      <c r="A4" s="71" t="s">
        <v>9</v>
      </c>
      <c r="B4" s="98" t="str">
        <f>VLOOKUP(A4,region!$B$2:$M$198,2,FALSE)</f>
        <v>europe</v>
      </c>
      <c r="C4" s="68">
        <f>VLOOKUP(A4,p.greggio!A12:B69,2,FALSE)</f>
        <v>0.97695966899999998</v>
      </c>
      <c r="D4" s="68">
        <f>VLOOKUP(A4,p.raffinati!A12:B69,2,FALSE)</f>
        <v>55.09891425</v>
      </c>
      <c r="E4" s="68">
        <f>VLOOKUP(A4,p.coalignite!A12:B69,2,FALSE)</f>
        <v>0</v>
      </c>
      <c r="F4" s="68">
        <f>VLOOKUP(A4,p.gas!A12:B69,2,FALSE)</f>
        <v>2.1736920999999999E-2</v>
      </c>
      <c r="G4" s="68">
        <f>VLOOKUP(A4,p.ele!A12:B69,2,FALSE)</f>
        <v>571.35026996299996</v>
      </c>
      <c r="H4" s="70">
        <f>VLOOKUP(A4,s.elerinnov!A12:B69,2,FALSE)/100</f>
        <v>0.19938213999999999</v>
      </c>
      <c r="I4" s="70">
        <f>VLOOKUP(A4,s.windsolar!A12:B69,2,FALSE)/100</f>
        <v>6.8447899999999992E-2</v>
      </c>
      <c r="J4" s="68">
        <f>VLOOKUP(A4,'co2'!A12:B69,2,FALSE)</f>
        <v>301.87</v>
      </c>
    </row>
    <row r="5" spans="1:12" ht="15.6" customHeight="1" x14ac:dyDescent="0.3">
      <c r="A5" s="71" t="s">
        <v>10</v>
      </c>
      <c r="B5" s="98" t="str">
        <f>VLOOKUP(A5,region!$B$2:$M$198,2,FALSE)</f>
        <v>europe</v>
      </c>
      <c r="C5" s="68">
        <f>VLOOKUP(A5,p.greggio!A13:B70,2,FALSE)</f>
        <v>3.6050814369999999</v>
      </c>
      <c r="D5" s="68">
        <f>VLOOKUP(A5,p.raffinati!A13:B70,2,FALSE)</f>
        <v>92.491386781000003</v>
      </c>
      <c r="E5" s="68">
        <f>VLOOKUP(A5,p.coalignite!A13:B70,2,FALSE)</f>
        <v>168.797853159</v>
      </c>
      <c r="F5" s="68">
        <f>VLOOKUP(A5,p.gas!A13:B70,2,FALSE)</f>
        <v>6.866901769</v>
      </c>
      <c r="G5" s="68">
        <f>VLOOKUP(A5,p.ele!A13:B70,2,FALSE)</f>
        <v>647.37895579000008</v>
      </c>
      <c r="H5" s="70">
        <f>VLOOKUP(A5,s.elerinnov!A13:B70,2,FALSE)/100</f>
        <v>0.35996467999999998</v>
      </c>
      <c r="I5" s="70">
        <f>VLOOKUP(A5,s.windsolar!A13:B70,2,FALSE)/100</f>
        <v>0.25025895999999997</v>
      </c>
      <c r="J5" s="68">
        <f>VLOOKUP(A5,'co2'!A13:B70,2,FALSE)</f>
        <v>732.82</v>
      </c>
    </row>
    <row r="6" spans="1:12" ht="15.6" customHeight="1" x14ac:dyDescent="0.3">
      <c r="A6" s="71" t="s">
        <v>11</v>
      </c>
      <c r="B6" s="98" t="str">
        <f>VLOOKUP(A6,region!$B$2:$M$198,2,FALSE)</f>
        <v>europe</v>
      </c>
      <c r="C6" s="68">
        <f>VLOOKUP(A6,p.greggio!A14:B71,2,FALSE)</f>
        <v>5.1376260340000002</v>
      </c>
      <c r="D6" s="68">
        <f>VLOOKUP(A6,p.raffinati!A14:B71,2,FALSE)</f>
        <v>72.291740754000003</v>
      </c>
      <c r="E6" s="68">
        <f>VLOOKUP(A6,p.coalignite!A14:B71,2,FALSE)</f>
        <v>0</v>
      </c>
      <c r="F6" s="68">
        <f>VLOOKUP(A6,p.gas!A14:B71,2,FALSE)</f>
        <v>5.4502578709999998</v>
      </c>
      <c r="G6" s="68">
        <f>VLOOKUP(A6,p.ele!A14:B71,2,FALSE)</f>
        <v>290.61232199400001</v>
      </c>
      <c r="H6" s="70">
        <f>VLOOKUP(A6,s.elerinnov!A14:B71,2,FALSE)/100</f>
        <v>0.39867511999999999</v>
      </c>
      <c r="I6" s="70">
        <f>VLOOKUP(A6,s.windsolar!A14:B71,2,FALSE)/100</f>
        <v>0.16335108000000001</v>
      </c>
      <c r="J6" s="68">
        <f>VLOOKUP(A6,'co2'!A14:B71,2,FALSE)</f>
        <v>326.56</v>
      </c>
      <c r="K6" s="69"/>
    </row>
    <row r="7" spans="1:12" ht="15.6" customHeight="1" x14ac:dyDescent="0.3">
      <c r="A7" s="71" t="s">
        <v>12</v>
      </c>
      <c r="B7" s="98" t="str">
        <f>VLOOKUP(A7,region!$B$2:$M$198,2,FALSE)</f>
        <v>europe</v>
      </c>
      <c r="C7" s="68">
        <f>VLOOKUP(A7,p.greggio!A15:B72,2,FALSE)</f>
        <v>1.4913504640000002</v>
      </c>
      <c r="D7" s="68">
        <f>VLOOKUP(A7,p.raffinati!A15:B72,2,FALSE)</f>
        <v>60.946911024000002</v>
      </c>
      <c r="E7" s="68">
        <f>VLOOKUP(A7,p.coalignite!A15:B72,2,FALSE)</f>
        <v>0</v>
      </c>
      <c r="F7" s="68">
        <f>VLOOKUP(A7,p.gas!A15:B72,2,FALSE)</f>
        <v>31.340702974999999</v>
      </c>
      <c r="G7" s="68">
        <f>VLOOKUP(A7,p.ele!A15:B72,2,FALSE)</f>
        <v>117.24182485800002</v>
      </c>
      <c r="H7" s="70">
        <f>VLOOKUP(A7,s.elerinnov!A15:B72,2,FALSE)/100</f>
        <v>0.15718127000000001</v>
      </c>
      <c r="I7" s="70">
        <f>VLOOKUP(A7,s.windsolar!A15:B72,2,FALSE)/100</f>
        <v>0.11721872</v>
      </c>
      <c r="J7" s="68">
        <f>VLOOKUP(A7,'co2'!A15:B72,2,FALSE)</f>
        <v>179.59</v>
      </c>
    </row>
    <row r="8" spans="1:12" ht="15.6" customHeight="1" x14ac:dyDescent="0.3">
      <c r="A8" s="71" t="s">
        <v>13</v>
      </c>
      <c r="B8" s="98" t="str">
        <f>VLOOKUP(A8,region!$B$2:$M$198,2,FALSE)</f>
        <v>europe</v>
      </c>
      <c r="C8" s="68">
        <f>VLOOKUP(A8,p.greggio!A16:B73,2,FALSE)</f>
        <v>1.611029394</v>
      </c>
      <c r="D8" s="68">
        <f>VLOOKUP(A8,p.raffinati!A16:B73,2,FALSE)</f>
        <v>28.654596096000002</v>
      </c>
      <c r="E8" s="68">
        <f>VLOOKUP(A8,p.coalignite!A16:B73,2,FALSE)</f>
        <v>122.82070885100001</v>
      </c>
      <c r="F8" s="68">
        <f>VLOOKUP(A8,p.gas!A16:B73,2,FALSE)</f>
        <v>5.6148889870000005</v>
      </c>
      <c r="G8" s="68">
        <f>VLOOKUP(A8,p.ele!A16:B73,2,FALSE)</f>
        <v>169.80984167100002</v>
      </c>
      <c r="H8" s="70">
        <f>VLOOKUP(A8,s.elerinnov!A16:B73,2,FALSE)/100</f>
        <v>0.12983093000000001</v>
      </c>
      <c r="I8" s="70">
        <f>VLOOKUP(A8,s.windsolar!A16:B73,2,FALSE)/100</f>
        <v>7.7278180000000002E-2</v>
      </c>
      <c r="J8" s="68">
        <f>VLOOKUP(A8,'co2'!A16:B73,2,FALSE)</f>
        <v>329.15</v>
      </c>
    </row>
    <row r="9" spans="1:12" ht="15.6" customHeight="1" x14ac:dyDescent="0.3">
      <c r="A9" s="71" t="s">
        <v>14</v>
      </c>
      <c r="B9" s="98" t="str">
        <f>VLOOKUP(A9,region!$B$2:$M$198,2,FALSE)</f>
        <v>europe</v>
      </c>
      <c r="C9" s="68">
        <f>VLOOKUP(A9,p.greggio!A17:B74,2,FALSE)</f>
        <v>6.6196387999999995E-2</v>
      </c>
      <c r="D9" s="68">
        <f>VLOOKUP(A9,p.raffinati!A17:B74,2,FALSE)</f>
        <v>13.983420727999999</v>
      </c>
      <c r="E9" s="68">
        <f>VLOOKUP(A9,p.coalignite!A17:B74,2,FALSE)</f>
        <v>0</v>
      </c>
      <c r="F9" s="68">
        <f>VLOOKUP(A9,p.gas!A17:B74,2,FALSE)</f>
        <v>0</v>
      </c>
      <c r="G9" s="68">
        <f>VLOOKUP(A9,p.ele!A17:B74,2,FALSE)</f>
        <v>59.770921747000003</v>
      </c>
      <c r="H9" s="70">
        <f>VLOOKUP(A9,s.elerinnov!A17:B74,2,FALSE)/100</f>
        <v>0.52175636999999997</v>
      </c>
      <c r="I9" s="70">
        <f>VLOOKUP(A9,s.windsolar!A17:B74,2,FALSE)/100</f>
        <v>0.23370864000000002</v>
      </c>
      <c r="J9" s="68">
        <f>VLOOKUP(A9,'co2'!A17:B74,2,FALSE)</f>
        <v>50.19</v>
      </c>
    </row>
    <row r="10" spans="1:12" ht="15.6" customHeight="1" x14ac:dyDescent="0.3">
      <c r="A10" s="71" t="s">
        <v>15</v>
      </c>
      <c r="B10" s="98" t="str">
        <f>VLOOKUP(A10,region!$B$2:$M$198,2,FALSE)</f>
        <v>europe</v>
      </c>
      <c r="C10" s="68">
        <f>VLOOKUP(A10,p.greggio!A18:B75,2,FALSE)</f>
        <v>3.679754795</v>
      </c>
      <c r="D10" s="68">
        <f>VLOOKUP(A10,p.raffinati!A18:B75,2,FALSE)</f>
        <v>11.921718954000001</v>
      </c>
      <c r="E10" s="68">
        <f>VLOOKUP(A10,p.coalignite!A18:B75,2,FALSE)</f>
        <v>23.717419303</v>
      </c>
      <c r="F10" s="68">
        <f>VLOOKUP(A10,p.gas!A18:B75,2,FALSE)</f>
        <v>10.200716480999999</v>
      </c>
      <c r="G10" s="68">
        <f>VLOOKUP(A10,p.ele!A18:B75,2,FALSE)</f>
        <v>65.041961697000005</v>
      </c>
      <c r="H10" s="70">
        <f>VLOOKUP(A10,s.elerinnov!A18:B75,2,FALSE)/100</f>
        <v>0.41270617999999998</v>
      </c>
      <c r="I10" s="70">
        <f>VLOOKUP(A10,s.windsolar!A18:B75,2,FALSE)/100</f>
        <v>0.12522257000000001</v>
      </c>
      <c r="J10" s="68">
        <f>VLOOKUP(A10,'co2'!A18:B75,2,FALSE)</f>
        <v>68.56</v>
      </c>
    </row>
    <row r="11" spans="1:12" ht="15.6" customHeight="1" x14ac:dyDescent="0.3">
      <c r="A11" s="71" t="s">
        <v>16</v>
      </c>
      <c r="B11" s="98" t="str">
        <f>VLOOKUP(A11,region!$B$2:$M$198,2,FALSE)</f>
        <v>europe</v>
      </c>
      <c r="C11" s="68">
        <f>VLOOKUP(A11,p.greggio!A19:B76,2,FALSE)</f>
        <v>8.6914877000000001E-2</v>
      </c>
      <c r="D11" s="68">
        <f>VLOOKUP(A11,p.raffinati!A19:B76,2,FALSE)</f>
        <v>67.674771387999996</v>
      </c>
      <c r="E11" s="68">
        <f>VLOOKUP(A11,p.coalignite!A19:B76,2,FALSE)</f>
        <v>1.9004890160000001</v>
      </c>
      <c r="F11" s="68">
        <f>VLOOKUP(A11,p.gas!A19:B76,2,FALSE)</f>
        <v>9.6357158999999998E-2</v>
      </c>
      <c r="G11" s="68">
        <f>VLOOKUP(A11,p.ele!A19:B76,2,FALSE)</f>
        <v>273.69417309300002</v>
      </c>
      <c r="H11" s="70">
        <f>VLOOKUP(A11,s.elerinnov!A19:B76,2,FALSE)/100</f>
        <v>0.38622476</v>
      </c>
      <c r="I11" s="70">
        <f>VLOOKUP(A11,s.windsolar!A19:B76,2,FALSE)/100</f>
        <v>0.23256806999999999</v>
      </c>
      <c r="J11" s="68">
        <f>VLOOKUP(A11,'co2'!A19:B76,2,FALSE)</f>
        <v>254.99</v>
      </c>
    </row>
    <row r="12" spans="1:12" ht="15.6" customHeight="1" x14ac:dyDescent="0.3">
      <c r="A12" s="71" t="s">
        <v>17</v>
      </c>
      <c r="B12" s="98" t="str">
        <f>VLOOKUP(A12,region!$B$2:$M$198,2,FALSE)</f>
        <v>europe</v>
      </c>
      <c r="C12" s="68">
        <f>VLOOKUP(A12,p.greggio!A20:B77,2,FALSE)</f>
        <v>0</v>
      </c>
      <c r="D12" s="68">
        <f>VLOOKUP(A12,p.raffinati!A20:B77,2,FALSE)</f>
        <v>23.219467529000003</v>
      </c>
      <c r="E12" s="68">
        <f>VLOOKUP(A12,p.coalignite!A20:B77,2,FALSE)</f>
        <v>0.29890566000000002</v>
      </c>
      <c r="F12" s="68">
        <f>VLOOKUP(A12,p.gas!A20:B77,2,FALSE)</f>
        <v>0</v>
      </c>
      <c r="G12" s="68">
        <f>VLOOKUP(A12,p.ele!A20:B77,2,FALSE)</f>
        <v>163.22107333600002</v>
      </c>
      <c r="H12" s="70">
        <f>VLOOKUP(A12,s.elerinnov!A20:B77,2,FALSE)/100</f>
        <v>0.55270246999999995</v>
      </c>
      <c r="I12" s="70">
        <f>VLOOKUP(A12,s.windsolar!A20:B77,2,FALSE)/100</f>
        <v>0.10393224</v>
      </c>
      <c r="J12" s="68">
        <f>VLOOKUP(A12,'co2'!A20:B77,2,FALSE)</f>
        <v>39.22</v>
      </c>
      <c r="L12" s="69"/>
    </row>
    <row r="13" spans="1:12" ht="15.6" customHeight="1" x14ac:dyDescent="0.3">
      <c r="A13" s="71" t="s">
        <v>18</v>
      </c>
      <c r="B13" s="98" t="str">
        <f>VLOOKUP(A13,region!$B$2:$M$198,2,FALSE)</f>
        <v>europe</v>
      </c>
      <c r="C13" s="68">
        <f>VLOOKUP(A13,p.greggio!A21:B78,2,FALSE)</f>
        <v>50.788318971000002</v>
      </c>
      <c r="D13" s="68">
        <f>VLOOKUP(A13,p.raffinati!A21:B78,2,FALSE)</f>
        <v>59.150381321000005</v>
      </c>
      <c r="E13" s="68">
        <f>VLOOKUP(A13,p.coalignite!A21:B78,2,FALSE)</f>
        <v>2.5810018140000004</v>
      </c>
      <c r="F13" s="68">
        <f>VLOOKUP(A13,p.gas!A21:B78,2,FALSE)</f>
        <v>40.482559624000004</v>
      </c>
      <c r="G13" s="68">
        <f>VLOOKUP(A13,p.ele!A21:B78,2,FALSE)</f>
        <v>334.01235822000001</v>
      </c>
      <c r="H13" s="70">
        <f>VLOOKUP(A13,s.elerinnov!A21:B78,2,FALSE)/100</f>
        <v>0.33984161000000002</v>
      </c>
      <c r="I13" s="70">
        <f>VLOOKUP(A13,s.windsolar!A21:B78,2,FALSE)/100</f>
        <v>0.21020348</v>
      </c>
      <c r="J13" s="68">
        <f>VLOOKUP(A13,'co2'!A21:B78,2,FALSE)</f>
        <v>361.76</v>
      </c>
    </row>
    <row r="14" spans="1:12" ht="15.6" customHeight="1" x14ac:dyDescent="0.3">
      <c r="A14" s="71" t="s">
        <v>19</v>
      </c>
      <c r="B14" s="98" t="str">
        <f>VLOOKUP(A14,region!$B$2:$M$198,2,FALSE)</f>
        <v>europe</v>
      </c>
      <c r="C14" s="68">
        <f>VLOOKUP(A14,p.greggio!A22:B79,2,FALSE)</f>
        <v>84.04520407199999</v>
      </c>
      <c r="D14" s="68">
        <f>VLOOKUP(A14,p.raffinati!A22:B79,2,FALSE)</f>
        <v>15.670046275999999</v>
      </c>
      <c r="E14" s="68">
        <f>VLOOKUP(A14,p.coalignite!A22:B79,2,FALSE)</f>
        <v>0.31635601899999999</v>
      </c>
      <c r="F14" s="68">
        <f>VLOOKUP(A14,p.gas!A22:B79,2,FALSE)</f>
        <v>126.873038569</v>
      </c>
      <c r="G14" s="68">
        <f>VLOOKUP(A14,p.ele!A22:B79,2,FALSE)</f>
        <v>147.62382315899998</v>
      </c>
      <c r="H14" s="70">
        <f>VLOOKUP(A14,s.elerinnov!A22:B79,2,FALSE)/100</f>
        <v>0.97880093999999995</v>
      </c>
      <c r="I14" s="70">
        <f>VLOOKUP(A14,s.windsolar!A22:B79,2,FALSE)/100</f>
        <v>2.6296110000000001E-2</v>
      </c>
      <c r="J14" s="68">
        <f>VLOOKUP(A14,'co2'!A22:B79,2,FALSE)</f>
        <v>38.520000000000003</v>
      </c>
    </row>
    <row r="15" spans="1:12" ht="15.6" customHeight="1" x14ac:dyDescent="0.3">
      <c r="A15" s="71" t="s">
        <v>20</v>
      </c>
      <c r="B15" s="98" t="str">
        <f>VLOOKUP(A15,region!$B$2:$M$198,2,FALSE)</f>
        <v>europe</v>
      </c>
      <c r="C15" s="68">
        <f>VLOOKUP(A15,p.greggio!A23:B80,2,FALSE)</f>
        <v>3.2700722620000002</v>
      </c>
      <c r="D15" s="68">
        <f>VLOOKUP(A15,p.raffinati!A23:B80,2,FALSE)</f>
        <v>29.023618645999999</v>
      </c>
      <c r="E15" s="68">
        <f>VLOOKUP(A15,p.coalignite!A23:B80,2,FALSE)</f>
        <v>84.739895731000004</v>
      </c>
      <c r="F15" s="68">
        <f>VLOOKUP(A15,p.gas!A23:B80,2,FALSE)</f>
        <v>0.508201236</v>
      </c>
      <c r="G15" s="68">
        <f>VLOOKUP(A15,p.ele!A23:B80,2,FALSE)</f>
        <v>302.710108429</v>
      </c>
      <c r="H15" s="70">
        <f>VLOOKUP(A15,s.elerinnov!A23:B80,2,FALSE)/100</f>
        <v>0.32375897999999997</v>
      </c>
      <c r="I15" s="70">
        <f>VLOOKUP(A15,s.windsolar!A23:B80,2,FALSE)/100</f>
        <v>0.12025519</v>
      </c>
      <c r="J15" s="68">
        <f>VLOOKUP(A15,'co2'!A23:B80,2,FALSE)</f>
        <v>385.26</v>
      </c>
    </row>
    <row r="16" spans="1:12" ht="15.6" customHeight="1" x14ac:dyDescent="0.3">
      <c r="A16" s="71" t="s">
        <v>22</v>
      </c>
      <c r="B16" s="98" t="str">
        <f>VLOOKUP(A16,region!$B$2:$M$198,2,FALSE)</f>
        <v>asia</v>
      </c>
      <c r="C16" s="68">
        <f>VLOOKUP(A16,p.greggio!A25:B82,2,FALSE)</f>
        <v>91.821510023000002</v>
      </c>
      <c r="D16" s="68">
        <f>VLOOKUP(A16,p.raffinati!A25:B82,2,FALSE)</f>
        <v>15.045256704</v>
      </c>
      <c r="E16" s="68">
        <f>VLOOKUP(A16,p.coalignite!A25:B82,2,FALSE)</f>
        <v>117.806443961</v>
      </c>
      <c r="F16" s="68">
        <f>VLOOKUP(A16,p.gas!A25:B82,2,FALSE)</f>
        <v>44.845805122999998</v>
      </c>
      <c r="G16" s="68">
        <f>VLOOKUP(A16,p.ele!A24:B81,2,FALSE)</f>
        <v>120.43378953</v>
      </c>
      <c r="H16" s="70">
        <f>VLOOKUP(A16,s.elerinnov!A24:B81,2,FALSE)/100</f>
        <v>0.17797394</v>
      </c>
      <c r="I16" s="70">
        <f>VLOOKUP(A16,s.windsolar!A24:B81,2,FALSE)/100</f>
        <v>4.9740399999999999E-3</v>
      </c>
      <c r="J16" s="68">
        <f>VLOOKUP(A16,'co2'!A25:B82,2,FALSE)</f>
        <v>246.8</v>
      </c>
    </row>
    <row r="17" spans="1:10" ht="15.6" customHeight="1" x14ac:dyDescent="0.3">
      <c r="A17" s="71" t="s">
        <v>23</v>
      </c>
      <c r="B17" s="98" t="str">
        <f>VLOOKUP(A17,region!$B$2:$M$198,2,FALSE)</f>
        <v>europe</v>
      </c>
      <c r="C17" s="68">
        <f>VLOOKUP(A17,p.greggio!A26:B83,2,FALSE)</f>
        <v>556.26842764600008</v>
      </c>
      <c r="D17" s="68">
        <f>VLOOKUP(A17,p.raffinati!A26:B83,2,FALSE)</f>
        <v>276.49035907000001</v>
      </c>
      <c r="E17" s="68">
        <f>VLOOKUP(A17,p.coalignite!A26:B83,2,FALSE)</f>
        <v>411.76858387999999</v>
      </c>
      <c r="F17" s="68">
        <f>VLOOKUP(A17,p.gas!A26:B83,2,FALSE)</f>
        <v>740.59284696800012</v>
      </c>
      <c r="G17" s="68">
        <f>VLOOKUP(A17,p.ele!A25:B82,2,FALSE)</f>
        <v>1127.840537024</v>
      </c>
      <c r="H17" s="70">
        <f>VLOOKUP(A17,s.elerinnov!A25:B82,2,FALSE)/100</f>
        <v>0.17180802000000001</v>
      </c>
      <c r="I17" s="70">
        <f>VLOOKUP(A17,s.windsolar!A25:B82,2,FALSE)/100</f>
        <v>1.23083E-3</v>
      </c>
      <c r="J17" s="68">
        <f>VLOOKUP(A17,'co2'!A26:B83,2,FALSE)</f>
        <v>1754.59</v>
      </c>
    </row>
    <row r="18" spans="1:10" ht="15.6" customHeight="1" x14ac:dyDescent="0.3">
      <c r="A18" s="71" t="s">
        <v>24</v>
      </c>
      <c r="B18" s="98" t="str">
        <f>VLOOKUP(A18,region!$B$2:$M$198,2,FALSE)</f>
        <v>europe</v>
      </c>
      <c r="C18" s="68">
        <f>VLOOKUP(A18,p.greggio!A27:B84,2,FALSE)</f>
        <v>2.3224431160000001</v>
      </c>
      <c r="D18" s="68">
        <f>VLOOKUP(A18,p.raffinati!A27:B84,2,FALSE)</f>
        <v>2.7294132430000002</v>
      </c>
      <c r="E18" s="68">
        <f>VLOOKUP(A18,p.coalignite!A27:B84,2,FALSE)</f>
        <v>24.783543225000003</v>
      </c>
      <c r="F18" s="68">
        <f>VLOOKUP(A18,p.gas!A27:B84,2,FALSE)</f>
        <v>20.192242320000002</v>
      </c>
      <c r="G18" s="68">
        <f>VLOOKUP(A18,p.ele!A26:B83,2,FALSE)</f>
        <v>158.92770572999999</v>
      </c>
      <c r="H18" s="70">
        <f>VLOOKUP(A18,s.elerinnov!A26:B83,2,FALSE)/100</f>
        <v>8.810983E-2</v>
      </c>
      <c r="I18" s="70">
        <f>VLOOKUP(A18,s.windsolar!A26:B83,2,FALSE)/100</f>
        <v>1.2266520000000001E-2</v>
      </c>
      <c r="J18" s="68">
        <f>VLOOKUP(A18,'co2'!A27:B84,2,FALSE)</f>
        <v>174.79</v>
      </c>
    </row>
    <row r="19" spans="1:10" ht="15.6" customHeight="1" x14ac:dyDescent="0.3">
      <c r="A19" s="71" t="s">
        <v>25</v>
      </c>
      <c r="B19" s="98" t="str">
        <f>VLOOKUP(A19,region!$B$2:$M$198,2,FALSE)</f>
        <v>asia</v>
      </c>
      <c r="C19" s="68">
        <f>VLOOKUP(A19,p.greggio!A28:B85,2,FALSE)</f>
        <v>2.1824543809999999</v>
      </c>
      <c r="D19" s="68">
        <f>VLOOKUP(A19,p.raffinati!A28:B85,2,FALSE)</f>
        <v>2.1188659590000003</v>
      </c>
      <c r="E19" s="68">
        <f>VLOOKUP(A19,p.coalignite!A28:B85,2,FALSE)</f>
        <v>4.6943515109999998</v>
      </c>
      <c r="F19" s="68">
        <f>VLOOKUP(A19,p.gas!A28:B85,2,FALSE)</f>
        <v>60.229157196000003</v>
      </c>
      <c r="G19" s="68">
        <f>VLOOKUP(A19,p.ele!A27:B84,2,FALSE)</f>
        <v>62.234071587999999</v>
      </c>
      <c r="H19" s="70">
        <f>VLOOKUP(A19,s.elerinnov!A27:B84,2,FALSE)/100</f>
        <v>0.19132387000000001</v>
      </c>
      <c r="I19" s="70">
        <f>VLOOKUP(A19,s.windsolar!A27:B84,2,FALSE)/100</f>
        <v>0</v>
      </c>
      <c r="J19" s="68">
        <f>VLOOKUP(A19,'co2'!A28:B85,2,FALSE)</f>
        <v>92.05</v>
      </c>
    </row>
    <row r="20" spans="1:10" ht="15.6" customHeight="1" x14ac:dyDescent="0.3">
      <c r="A20" s="71" t="s">
        <v>28</v>
      </c>
      <c r="B20" s="98" t="str">
        <f>VLOOKUP(A20,region!$B$2:$M$198,2,FALSE)</f>
        <v>americas</v>
      </c>
      <c r="C20" s="68">
        <f>VLOOKUP(A20,p.greggio!A31:B88,2,FALSE)</f>
        <v>259.48122849600003</v>
      </c>
      <c r="D20" s="68">
        <f>VLOOKUP(A20,p.raffinati!A31:B88,2,FALSE)</f>
        <v>94.246526670999998</v>
      </c>
      <c r="E20" s="68">
        <f>VLOOKUP(A20,p.coalignite!A31:B88,2,FALSE)</f>
        <v>54.295461693999997</v>
      </c>
      <c r="F20" s="68">
        <f>VLOOKUP(A20,p.gas!A31:B88,2,FALSE)</f>
        <v>188.07170485099999</v>
      </c>
      <c r="G20" s="68">
        <f>VLOOKUP(A20,p.ele!A28:B85,2,FALSE)</f>
        <v>662.986091257</v>
      </c>
      <c r="H20" s="70">
        <f>VLOOKUP(A20,s.elerinnov!A28:B85,2,FALSE)/100</f>
        <v>0.65860918000000002</v>
      </c>
      <c r="I20" s="70">
        <f>VLOOKUP(A20,s.windsolar!A28:B85,2,FALSE)/100</f>
        <v>5.2961150000000005E-2</v>
      </c>
      <c r="J20" s="68">
        <f>VLOOKUP(A20,'co2'!A31:B88,2,FALSE)</f>
        <v>596.29</v>
      </c>
    </row>
    <row r="21" spans="1:10" ht="15.6" customHeight="1" x14ac:dyDescent="0.3">
      <c r="A21" s="71" t="s">
        <v>29</v>
      </c>
      <c r="B21" s="98" t="str">
        <f>VLOOKUP(A21,region!$B$2:$M$198,2,FALSE)</f>
        <v>americas</v>
      </c>
      <c r="C21" s="68">
        <f>VLOOKUP(A21,p.greggio!A32:B89,2,FALSE)</f>
        <v>675.98147982199998</v>
      </c>
      <c r="D21" s="68">
        <f>VLOOKUP(A21,p.raffinati!A32:B89,2,FALSE)</f>
        <v>895.90916310600005</v>
      </c>
      <c r="E21" s="68">
        <f>VLOOKUP(A21,p.coalignite!A32:B89,2,FALSE)</f>
        <v>683.74985111800004</v>
      </c>
      <c r="F21" s="68">
        <f>VLOOKUP(A21,p.gas!A32:B89,2,FALSE)</f>
        <v>864.07095456100001</v>
      </c>
      <c r="G21" s="68">
        <f>VLOOKUP(A21,p.ele!A29:B86,2,FALSE)</f>
        <v>4429.2600162580002</v>
      </c>
      <c r="H21" s="70">
        <f>VLOOKUP(A21,s.elerinnov!A29:B86,2,FALSE)/100</f>
        <v>0.17475511999999999</v>
      </c>
      <c r="I21" s="70">
        <f>VLOOKUP(A21,s.windsolar!A29:B86,2,FALSE)/100</f>
        <v>8.9254789999999987E-2</v>
      </c>
      <c r="J21" s="68">
        <f>VLOOKUP(A21,'co2'!A32:B89,2,FALSE)</f>
        <v>5117.7700000000004</v>
      </c>
    </row>
    <row r="22" spans="1:10" ht="15.6" customHeight="1" x14ac:dyDescent="0.3">
      <c r="A22" s="71" t="s">
        <v>31</v>
      </c>
      <c r="B22" s="98" t="str">
        <f>VLOOKUP(A22,region!$B$2:$M$198,2,FALSE)</f>
        <v>americas</v>
      </c>
      <c r="C22" s="68">
        <f>VLOOKUP(A22,p.greggio!A34:B91,2,FALSE)</f>
        <v>27.944526316000001</v>
      </c>
      <c r="D22" s="68">
        <f>VLOOKUP(A22,p.raffinati!A34:B91,2,FALSE)</f>
        <v>28.721338898999999</v>
      </c>
      <c r="E22" s="68">
        <f>VLOOKUP(A22,p.coalignite!A34:B91,2,FALSE)</f>
        <v>1.932E-2</v>
      </c>
      <c r="F22" s="68">
        <f>VLOOKUP(A22,p.gas!A34:B91,2,FALSE)</f>
        <v>45.285789535000006</v>
      </c>
      <c r="G22" s="68">
        <f>VLOOKUP(A22,p.ele!A30:B87,2,FALSE)</f>
        <v>148.17041737300002</v>
      </c>
      <c r="H22" s="70">
        <f>VLOOKUP(A22,s.elerinnov!A30:B87,2,FALSE)/100</f>
        <v>0.30737977999999999</v>
      </c>
      <c r="I22" s="70">
        <f>VLOOKUP(A22,s.windsolar!A30:B87,2,FALSE)/100</f>
        <v>9.5628099999999997E-3</v>
      </c>
      <c r="J22" s="68">
        <f>VLOOKUP(A22,'co2'!A34:B91,2,FALSE)</f>
        <v>185.41</v>
      </c>
    </row>
    <row r="23" spans="1:10" ht="15.6" customHeight="1" x14ac:dyDescent="0.3">
      <c r="A23" s="71" t="s">
        <v>32</v>
      </c>
      <c r="B23" s="98" t="str">
        <f>VLOOKUP(A23,region!$B$2:$M$198,2,FALSE)</f>
        <v>americas</v>
      </c>
      <c r="C23" s="68">
        <f>VLOOKUP(A23,p.greggio!A35:B92,2,FALSE)</f>
        <v>135.53103104000002</v>
      </c>
      <c r="D23" s="68">
        <f>VLOOKUP(A23,p.raffinati!A35:B92,2,FALSE)</f>
        <v>95.697307929000004</v>
      </c>
      <c r="E23" s="68">
        <f>VLOOKUP(A23,p.coalignite!A35:B92,2,FALSE)</f>
        <v>4.0916820019999998</v>
      </c>
      <c r="F23" s="68">
        <f>VLOOKUP(A23,p.gas!A35:B92,2,FALSE)</f>
        <v>23.234643274</v>
      </c>
      <c r="G23" s="68">
        <f>VLOOKUP(A23,p.ele!A31:B88,2,FALSE)</f>
        <v>596.435441814</v>
      </c>
      <c r="H23" s="70">
        <f>VLOOKUP(A23,s.elerinnov!A31:B88,2,FALSE)/100</f>
        <v>0.82457418000000005</v>
      </c>
      <c r="I23" s="70">
        <f>VLOOKUP(A23,s.windsolar!A31:B88,2,FALSE)/100</f>
        <v>8.7533260000000002E-2</v>
      </c>
      <c r="J23" s="68">
        <f>VLOOKUP(A23,'co2'!A35:B92,2,FALSE)</f>
        <v>419.5</v>
      </c>
    </row>
    <row r="24" spans="1:10" ht="15.6" customHeight="1" x14ac:dyDescent="0.3">
      <c r="A24" s="71" t="s">
        <v>33</v>
      </c>
      <c r="B24" s="98" t="str">
        <f>VLOOKUP(A24,region!$B$2:$M$198,2,FALSE)</f>
        <v>americas</v>
      </c>
      <c r="C24" s="68">
        <f>VLOOKUP(A24,p.greggio!A36:B93,2,FALSE)</f>
        <v>0.373</v>
      </c>
      <c r="D24" s="68">
        <f>VLOOKUP(A24,p.raffinati!A36:B93,2,FALSE)</f>
        <v>9.4057061630000014</v>
      </c>
      <c r="E24" s="68">
        <f>VLOOKUP(A24,p.coalignite!A36:B93,2,FALSE)</f>
        <v>2.9632305630000002</v>
      </c>
      <c r="F24" s="68">
        <f>VLOOKUP(A24,p.gas!A36:B93,2,FALSE)</f>
        <v>1.5219992740000001</v>
      </c>
      <c r="G24" s="68">
        <f>VLOOKUP(A24,p.ele!A32:B89,2,FALSE)</f>
        <v>80.548308937000002</v>
      </c>
      <c r="H24" s="70">
        <f>VLOOKUP(A24,s.elerinnov!A32:B89,2,FALSE)/100</f>
        <v>0.46835037999999996</v>
      </c>
      <c r="I24" s="70">
        <f>VLOOKUP(A24,s.windsolar!A32:B89,2,FALSE)/100</f>
        <v>0.11067327</v>
      </c>
      <c r="J24" s="68">
        <f>VLOOKUP(A24,'co2'!A36:B93,2,FALSE)</f>
        <v>88.88</v>
      </c>
    </row>
    <row r="25" spans="1:10" ht="15.6" customHeight="1" x14ac:dyDescent="0.3">
      <c r="A25" s="71" t="s">
        <v>34</v>
      </c>
      <c r="B25" s="98" t="str">
        <f>VLOOKUP(A25,region!$B$2:$M$198,2,FALSE)</f>
        <v>americas</v>
      </c>
      <c r="C25" s="68">
        <f>VLOOKUP(A25,p.greggio!A37:B94,2,FALSE)</f>
        <v>44.590009170000002</v>
      </c>
      <c r="D25" s="68">
        <f>VLOOKUP(A25,p.raffinati!A37:B94,2,FALSE)</f>
        <v>19.39399015</v>
      </c>
      <c r="E25" s="68">
        <f>VLOOKUP(A25,p.coalignite!A37:B94,2,FALSE)</f>
        <v>84.300009974999995</v>
      </c>
      <c r="F25" s="68">
        <f>VLOOKUP(A25,p.gas!A37:B94,2,FALSE)</f>
        <v>12.666634051000001</v>
      </c>
      <c r="G25" s="68">
        <f>VLOOKUP(A25,p.ele!A33:B90,2,FALSE)</f>
        <v>80.277082993000008</v>
      </c>
      <c r="H25" s="70">
        <f>VLOOKUP(A25,s.elerinnov!A33:B90,2,FALSE)/100</f>
        <v>0.75728798999999991</v>
      </c>
      <c r="I25" s="70">
        <f>VLOOKUP(A25,s.windsolar!A33:B90,2,FALSE)/100</f>
        <v>5.4228999999999996E-4</v>
      </c>
      <c r="J25" s="68">
        <f>VLOOKUP(A25,'co2'!A37:B94,2,FALSE)</f>
        <v>76.489999999999995</v>
      </c>
    </row>
    <row r="26" spans="1:10" ht="15.6" customHeight="1" x14ac:dyDescent="0.3">
      <c r="A26" s="71" t="s">
        <v>35</v>
      </c>
      <c r="B26" s="98" t="str">
        <f>VLOOKUP(A26,region!$B$2:$M$198,2,FALSE)</f>
        <v>americas</v>
      </c>
      <c r="C26" s="68">
        <f>VLOOKUP(A26,p.greggio!A38:B95,2,FALSE)</f>
        <v>101.57925459500001</v>
      </c>
      <c r="D26" s="68">
        <f>VLOOKUP(A26,p.raffinati!A38:B95,2,FALSE)</f>
        <v>35.620668847000005</v>
      </c>
      <c r="E26" s="68">
        <f>VLOOKUP(A26,p.coalignite!A38:B95,2,FALSE)</f>
        <v>15.96048616</v>
      </c>
      <c r="F26" s="68">
        <f>VLOOKUP(A26,p.gas!A38:B95,2,FALSE)</f>
        <v>29.738978608000004</v>
      </c>
      <c r="G26" s="68">
        <f>VLOOKUP(A26,p.ele!A34:B91,2,FALSE)</f>
        <v>320.15604330600002</v>
      </c>
      <c r="H26" s="70">
        <f>VLOOKUP(A26,s.elerinnov!A34:B91,2,FALSE)/100</f>
        <v>0.16738463000000001</v>
      </c>
      <c r="I26" s="70">
        <f>VLOOKUP(A26,s.windsolar!A34:B91,2,FALSE)/100</f>
        <v>6.2829740000000009E-2</v>
      </c>
      <c r="J26" s="68">
        <f>VLOOKUP(A26,'co2'!A38:B95,2,FALSE)</f>
        <v>429.92</v>
      </c>
    </row>
    <row r="27" spans="1:10" ht="15.6" customHeight="1" x14ac:dyDescent="0.3">
      <c r="A27" s="71" t="s">
        <v>36</v>
      </c>
      <c r="B27" s="98" t="str">
        <f>VLOOKUP(A27,region!$B$2:$M$198,2,FALSE)</f>
        <v>americas</v>
      </c>
      <c r="C27" s="68">
        <f>VLOOKUP(A27,p.greggio!A39:B96,2,FALSE)</f>
        <v>81.018287232000006</v>
      </c>
      <c r="D27" s="68">
        <f>VLOOKUP(A27,p.raffinati!A39:B96,2,FALSE)</f>
        <v>30.254762970000002</v>
      </c>
      <c r="E27" s="68">
        <f>VLOOKUP(A27,p.coalignite!A39:B96,2,FALSE)</f>
        <v>0.411307115</v>
      </c>
      <c r="F27" s="68">
        <f>VLOOKUP(A27,p.gas!A39:B96,2,FALSE)</f>
        <v>20.941609498000002</v>
      </c>
      <c r="G27" s="68">
        <f>VLOOKUP(A27,p.ele!A35:B92,2,FALSE)</f>
        <v>100.316987289</v>
      </c>
      <c r="H27" s="70">
        <f>VLOOKUP(A27,s.elerinnov!A35:B92,2,FALSE)/100</f>
        <v>0.70765884000000001</v>
      </c>
      <c r="I27" s="70">
        <f>VLOOKUP(A27,s.windsolar!A35:B92,2,FALSE)/100</f>
        <v>0</v>
      </c>
      <c r="J27" s="68">
        <f>VLOOKUP(A27,'co2'!A39:B96,2,FALSE)</f>
        <v>103.29</v>
      </c>
    </row>
    <row r="28" spans="1:10" ht="15.6" customHeight="1" x14ac:dyDescent="0.3">
      <c r="A28" s="71" t="s">
        <v>38</v>
      </c>
      <c r="B28" s="98" t="str">
        <f>VLOOKUP(A28,region!$B$2:$M$198,2,FALSE)</f>
        <v>asia</v>
      </c>
      <c r="C28" s="68">
        <f>VLOOKUP(A28,p.greggio!A41:B98,2,FALSE)</f>
        <v>192.54692322900001</v>
      </c>
      <c r="D28" s="68">
        <f>VLOOKUP(A28,p.raffinati!A41:B98,2,FALSE)</f>
        <v>595.34223329200006</v>
      </c>
      <c r="E28" s="68">
        <f>VLOOKUP(A28,p.coalignite!A41:B98,2,FALSE)</f>
        <v>3474.4865328149999</v>
      </c>
      <c r="F28" s="68">
        <f>VLOOKUP(A28,p.gas!A41:B98,2,FALSE)</f>
        <v>160.37921870900001</v>
      </c>
      <c r="G28" s="68">
        <f>VLOOKUP(A28,p.ele!A36:B93,2,FALSE)</f>
        <v>7091.7903035009995</v>
      </c>
      <c r="H28" s="70">
        <f>VLOOKUP(A28,s.elerinnov!A36:B93,2,FALSE)/100</f>
        <v>0.26254638000000002</v>
      </c>
      <c r="I28" s="70">
        <f>VLOOKUP(A28,s.windsolar!A36:B93,2,FALSE)/100</f>
        <v>7.7482510000000004E-2</v>
      </c>
      <c r="J28" s="68">
        <f>VLOOKUP(A28,'co2'!A41:B98,2,FALSE)</f>
        <v>9466.5</v>
      </c>
    </row>
    <row r="29" spans="1:10" ht="15.6" customHeight="1" x14ac:dyDescent="0.3">
      <c r="A29" s="71" t="s">
        <v>39</v>
      </c>
      <c r="B29" s="98" t="str">
        <f>VLOOKUP(A29,region!$B$2:$M$198,2,FALSE)</f>
        <v>asia</v>
      </c>
      <c r="C29" s="68">
        <f>VLOOKUP(A29,p.greggio!A42:B99,2,FALSE)</f>
        <v>38.599271625</v>
      </c>
      <c r="D29" s="68">
        <f>VLOOKUP(A29,p.raffinati!A42:B99,2,FALSE)</f>
        <v>274.37853673799998</v>
      </c>
      <c r="E29" s="68">
        <f>VLOOKUP(A29,p.coalignite!A42:B99,2,FALSE)</f>
        <v>763.67760643299994</v>
      </c>
      <c r="F29" s="68">
        <f>VLOOKUP(A29,p.gas!A42:B99,2,FALSE)</f>
        <v>32.127424548999997</v>
      </c>
      <c r="G29" s="68">
        <f>VLOOKUP(A29,p.ele!A37:B94,2,FALSE)</f>
        <v>1643.1695901979999</v>
      </c>
      <c r="H29" s="70">
        <f>VLOOKUP(A29,s.elerinnov!A37:B94,2,FALSE)/100</f>
        <v>0.18505004999999999</v>
      </c>
      <c r="I29" s="70">
        <f>VLOOKUP(A29,s.windsolar!A37:B94,2,FALSE)/100</f>
        <v>6.3963289999999992E-2</v>
      </c>
      <c r="J29" s="68">
        <f>VLOOKUP(A29,'co2'!A42:B99,2,FALSE)</f>
        <v>2276.9499999999998</v>
      </c>
    </row>
    <row r="30" spans="1:10" ht="15.6" customHeight="1" x14ac:dyDescent="0.3">
      <c r="A30" s="71" t="s">
        <v>40</v>
      </c>
      <c r="B30" s="98" t="str">
        <f>VLOOKUP(A30,region!$B$2:$M$198,2,FALSE)</f>
        <v>asia</v>
      </c>
      <c r="C30" s="68">
        <f>VLOOKUP(A30,p.greggio!A43:B100,2,FALSE)</f>
        <v>38.948681911000001</v>
      </c>
      <c r="D30" s="68">
        <f>VLOOKUP(A30,p.raffinati!A43:B100,2,FALSE)</f>
        <v>49.110416914000005</v>
      </c>
      <c r="E30" s="68">
        <f>VLOOKUP(A30,p.coalignite!A43:B100,2,FALSE)</f>
        <v>474.182832534</v>
      </c>
      <c r="F30" s="68">
        <f>VLOOKUP(A30,p.gas!A43:B100,2,FALSE)</f>
        <v>74.839789944999993</v>
      </c>
      <c r="G30" s="68">
        <f>VLOOKUP(A30,p.ele!A38:B95,2,FALSE)</f>
        <v>268.35613677500004</v>
      </c>
      <c r="H30" s="70">
        <f>VLOOKUP(A30,s.elerinnov!A38:B95,2,FALSE)/100</f>
        <v>0.12459515</v>
      </c>
      <c r="I30" s="70">
        <f>VLOOKUP(A30,s.windsolar!A38:B95,2,FALSE)/100</f>
        <v>5.2052859999999999E-2</v>
      </c>
      <c r="J30" s="68">
        <f>VLOOKUP(A30,'co2'!A43:B100,2,FALSE)</f>
        <v>522.23</v>
      </c>
    </row>
    <row r="31" spans="1:10" ht="15.6" customHeight="1" x14ac:dyDescent="0.3">
      <c r="A31" s="71" t="s">
        <v>41</v>
      </c>
      <c r="B31" s="98" t="str">
        <f>VLOOKUP(A31,region!$B$2:$M$198,2,FALSE)</f>
        <v>asia</v>
      </c>
      <c r="C31" s="68">
        <f>VLOOKUP(A31,p.greggio!A44:B101,2,FALSE)</f>
        <v>0.37755160100000001</v>
      </c>
      <c r="D31" s="68">
        <f>VLOOKUP(A31,p.raffinati!A44:B101,2,FALSE)</f>
        <v>149.49179442400001</v>
      </c>
      <c r="E31" s="68">
        <f>VLOOKUP(A31,p.coalignite!A44:B101,2,FALSE)</f>
        <v>0.98953039300000001</v>
      </c>
      <c r="F31" s="68">
        <f>VLOOKUP(A31,p.gas!A44:B101,2,FALSE)</f>
        <v>2.7405375250000001</v>
      </c>
      <c r="G31" s="68">
        <f>VLOOKUP(A31,p.ele!A39:B96,2,FALSE)</f>
        <v>1101.892555764</v>
      </c>
      <c r="H31" s="70">
        <f>VLOOKUP(A31,s.elerinnov!A39:B96,2,FALSE)/100</f>
        <v>0.17503568999999999</v>
      </c>
      <c r="I31" s="70">
        <f>VLOOKUP(A31,s.windsolar!A39:B96,2,FALSE)/100</f>
        <v>9.587379E-2</v>
      </c>
      <c r="J31" s="68">
        <f>VLOOKUP(A31,'co2'!A44:B101,2,FALSE)</f>
        <v>1123.04</v>
      </c>
    </row>
    <row r="32" spans="1:10" ht="15.6" customHeight="1" x14ac:dyDescent="0.3">
      <c r="A32" s="71" t="s">
        <v>42</v>
      </c>
      <c r="B32" s="98" t="str">
        <f>VLOOKUP(A32,region!$B$2:$M$198,2,FALSE)</f>
        <v>asia</v>
      </c>
      <c r="C32" s="68">
        <f>VLOOKUP(A32,p.greggio!A45:B102,2,FALSE)</f>
        <v>34.185603864000001</v>
      </c>
      <c r="D32" s="68">
        <f>VLOOKUP(A32,p.raffinati!A45:B102,2,FALSE)</f>
        <v>24.586579766</v>
      </c>
      <c r="E32" s="68">
        <f>VLOOKUP(A32,p.coalignite!A45:B102,2,FALSE)</f>
        <v>2.4816484870000002</v>
      </c>
      <c r="F32" s="68">
        <f>VLOOKUP(A32,p.gas!A45:B102,2,FALSE)</f>
        <v>67.262482176999995</v>
      </c>
      <c r="G32" s="68">
        <f>VLOOKUP(A32,p.ele!A40:B97,2,FALSE)</f>
        <v>166.38166741500001</v>
      </c>
      <c r="H32" s="70">
        <f>VLOOKUP(A32,s.elerinnov!A40:B97,2,FALSE)/100</f>
        <v>0.14458234</v>
      </c>
      <c r="I32" s="70">
        <f>VLOOKUP(A32,s.windsolar!A40:B97,2,FALSE)/100</f>
        <v>2.6037600000000001E-3</v>
      </c>
      <c r="J32" s="68">
        <f>VLOOKUP(A32,'co2'!A45:B102,2,FALSE)</f>
        <v>236.1</v>
      </c>
    </row>
    <row r="33" spans="1:10" ht="15.6" customHeight="1" x14ac:dyDescent="0.3">
      <c r="A33" s="71" t="s">
        <v>43</v>
      </c>
      <c r="B33" s="98" t="str">
        <f>VLOOKUP(A33,region!$B$2:$M$198,2,FALSE)</f>
        <v>asia</v>
      </c>
      <c r="C33" s="68">
        <f>VLOOKUP(A33,p.greggio!A46:B103,2,FALSE)</f>
        <v>0.74822060999999995</v>
      </c>
      <c r="D33" s="68">
        <f>VLOOKUP(A33,p.raffinati!A46:B103,2,FALSE)</f>
        <v>158.71837810400001</v>
      </c>
      <c r="E33" s="68">
        <f>VLOOKUP(A33,p.coalignite!A46:B103,2,FALSE)</f>
        <v>1.2</v>
      </c>
      <c r="F33" s="68">
        <f>VLOOKUP(A33,p.gas!A46:B103,2,FALSE)</f>
        <v>0.30538965000000001</v>
      </c>
      <c r="G33" s="68">
        <f>VLOOKUP(A33,p.ele!A41:B98,2,FALSE)</f>
        <v>593.34602615100005</v>
      </c>
      <c r="H33" s="70">
        <f>VLOOKUP(A33,s.elerinnov!A41:B98,2,FALSE)/100</f>
        <v>4.4249739999999996E-2</v>
      </c>
      <c r="I33" s="70">
        <f>VLOOKUP(A33,s.windsolar!A41:B98,2,FALSE)/100</f>
        <v>2.1814689999999998E-2</v>
      </c>
      <c r="J33" s="68">
        <f>VLOOKUP(A33,'co2'!A46:B103,2,FALSE)</f>
        <v>703.99</v>
      </c>
    </row>
    <row r="34" spans="1:10" ht="15.6" customHeight="1" x14ac:dyDescent="0.3">
      <c r="A34" s="71" t="s">
        <v>44</v>
      </c>
      <c r="B34" s="98" t="str">
        <f>VLOOKUP(A34,region!$B$2:$M$198,2,FALSE)</f>
        <v>asia</v>
      </c>
      <c r="C34" s="68">
        <f>VLOOKUP(A34,p.greggio!A47:B104,2,FALSE)</f>
        <v>4.3233499999999992E-3</v>
      </c>
      <c r="D34" s="68">
        <f>VLOOKUP(A34,p.raffinati!A47:B104,2,FALSE)</f>
        <v>44.883748343999997</v>
      </c>
      <c r="E34" s="68">
        <f>VLOOKUP(A34,p.coalignite!A47:B104,2,FALSE)</f>
        <v>0</v>
      </c>
      <c r="F34" s="68">
        <f>VLOOKUP(A34,p.gas!A47:B104,2,FALSE)</f>
        <v>0.177629906</v>
      </c>
      <c r="G34" s="68">
        <f>VLOOKUP(A34,p.ele!A42:B99,2,FALSE)</f>
        <v>273.60660641599998</v>
      </c>
      <c r="H34" s="70">
        <f>VLOOKUP(A34,s.elerinnov!A42:B99,2,FALSE)/100</f>
        <v>5.2113199999999998E-2</v>
      </c>
      <c r="I34" s="70">
        <f>VLOOKUP(A34,s.windsolar!A42:B99,2,FALSE)/100</f>
        <v>1.6153830000000001E-2</v>
      </c>
      <c r="J34" s="68">
        <f>VLOOKUP(A34,'co2'!A47:B104,2,FALSE)</f>
        <v>281.81</v>
      </c>
    </row>
    <row r="35" spans="1:10" ht="15.6" customHeight="1" x14ac:dyDescent="0.3">
      <c r="A35" s="71" t="s">
        <v>45</v>
      </c>
      <c r="B35" s="98" t="str">
        <f>VLOOKUP(A35,region!$B$2:$M$198,2,FALSE)</f>
        <v>asia</v>
      </c>
      <c r="C35" s="68">
        <f>VLOOKUP(A35,p.greggio!A48:B105,2,FALSE)</f>
        <v>17.077939309000001</v>
      </c>
      <c r="D35" s="68">
        <f>VLOOKUP(A35,p.raffinati!A48:B105,2,FALSE)</f>
        <v>67.960116329000002</v>
      </c>
      <c r="E35" s="68">
        <f>VLOOKUP(A35,p.coalignite!A48:B105,2,FALSE)</f>
        <v>14.852281593000001</v>
      </c>
      <c r="F35" s="68">
        <f>VLOOKUP(A35,p.gas!A48:B105,2,FALSE)</f>
        <v>29.707371136000003</v>
      </c>
      <c r="G35" s="68">
        <f>VLOOKUP(A35,p.ele!A43:B100,2,FALSE)</f>
        <v>188.98788597699999</v>
      </c>
      <c r="H35" s="70">
        <f>VLOOKUP(A35,s.elerinnov!A43:B100,2,FALSE)/100</f>
        <v>0.20196272000000001</v>
      </c>
      <c r="I35" s="70">
        <f>VLOOKUP(A35,s.windsolar!A43:B100,2,FALSE)/100</f>
        <v>3.3682709999999998E-2</v>
      </c>
      <c r="J35" s="68">
        <f>VLOOKUP(A35,'co2'!A48:B105,2,FALSE)</f>
        <v>268.22000000000003</v>
      </c>
    </row>
    <row r="36" spans="1:10" ht="15.6" customHeight="1" x14ac:dyDescent="0.3">
      <c r="A36" s="71" t="s">
        <v>47</v>
      </c>
      <c r="B36" s="98" t="str">
        <f>VLOOKUP(A36,region!$B$2:$M$198,2,FALSE)</f>
        <v>asia</v>
      </c>
      <c r="C36" s="68">
        <f>VLOOKUP(A36,p.greggio!A50:B107,2,FALSE)</f>
        <v>15.797465589</v>
      </c>
      <c r="D36" s="68">
        <f>VLOOKUP(A36,p.raffinati!A50:B107,2,FALSE)</f>
        <v>23.376450605999999</v>
      </c>
      <c r="E36" s="68">
        <f>VLOOKUP(A36,p.coalignite!A50:B107,2,FALSE)</f>
        <v>501.98727136800005</v>
      </c>
      <c r="F36" s="68">
        <f>VLOOKUP(A36,p.gas!A50:B107,2,FALSE)</f>
        <v>125.018376051</v>
      </c>
      <c r="G36" s="68">
        <f>VLOOKUP(A36,p.ele!A44:B101,2,FALSE)</f>
        <v>258.99399101800003</v>
      </c>
      <c r="H36" s="70">
        <f>VLOOKUP(A36,s.elerinnov!A44:B101,2,FALSE)/100</f>
        <v>0.19604814000000001</v>
      </c>
      <c r="I36" s="70">
        <f>VLOOKUP(A36,s.windsolar!A44:B101,2,FALSE)/100</f>
        <v>0.10146843</v>
      </c>
      <c r="J36" s="68">
        <f>VLOOKUP(A36,'co2'!A50:B107,2,FALSE)</f>
        <v>403.11</v>
      </c>
    </row>
    <row r="37" spans="1:10" ht="15.6" customHeight="1" x14ac:dyDescent="0.3">
      <c r="A37" s="71" t="s">
        <v>48</v>
      </c>
      <c r="B37" s="98" t="str">
        <f>VLOOKUP(A37,region!$B$2:$M$198,2,FALSE)</f>
        <v>asia</v>
      </c>
      <c r="C37" s="68">
        <f>VLOOKUP(A37,p.greggio!A51:B108,2,FALSE)</f>
        <v>1.273307631</v>
      </c>
      <c r="D37" s="68">
        <f>VLOOKUP(A37,p.raffinati!A51:B108,2,FALSE)</f>
        <v>5.6860092900000003</v>
      </c>
      <c r="E37" s="68">
        <f>VLOOKUP(A37,p.coalignite!A51:B108,2,FALSE)</f>
        <v>3.2139411739999999</v>
      </c>
      <c r="F37" s="68">
        <f>VLOOKUP(A37,p.gas!A51:B108,2,FALSE)</f>
        <v>4.2525485420000004</v>
      </c>
      <c r="G37" s="68">
        <f>VLOOKUP(A37,p.ele!A45:B102,2,FALSE)</f>
        <v>43.612476819000001</v>
      </c>
      <c r="H37" s="70">
        <f>VLOOKUP(A37,s.elerinnov!A45:B102,2,FALSE)/100</f>
        <v>0.83072438999999998</v>
      </c>
      <c r="I37" s="70">
        <f>VLOOKUP(A37,s.windsolar!A45:B102,2,FALSE)/100</f>
        <v>0.21944132</v>
      </c>
      <c r="J37" s="68">
        <f>VLOOKUP(A37,'co2'!A51:B108,2,FALSE)</f>
        <v>31.12</v>
      </c>
    </row>
    <row r="38" spans="1:10" ht="15.6" customHeight="1" x14ac:dyDescent="0.3">
      <c r="A38" s="71" t="s">
        <v>50</v>
      </c>
      <c r="B38" s="98" t="str">
        <f>VLOOKUP(A38,region!$B$2:$M$198,2,FALSE)</f>
        <v>africa</v>
      </c>
      <c r="C38" s="68">
        <f>VLOOKUP(A38,p.greggio!A53:B110,2,FALSE)</f>
        <v>65.795608116000011</v>
      </c>
      <c r="D38" s="68">
        <f>VLOOKUP(A38,p.raffinati!A53:B110,2,FALSE)</f>
        <v>38.349552519</v>
      </c>
      <c r="E38" s="68">
        <f>VLOOKUP(A38,p.coalignite!A53:B110,2,FALSE)</f>
        <v>0</v>
      </c>
      <c r="F38" s="68">
        <f>VLOOKUP(A38,p.gas!A53:B110,2,FALSE)</f>
        <v>95.948095488000007</v>
      </c>
      <c r="G38" s="68">
        <f>VLOOKUP(A38,p.ele!A46:B103,2,FALSE)</f>
        <v>86.604925277999996</v>
      </c>
      <c r="H38" s="70">
        <f>VLOOKUP(A38,s.elerinnov!A46:B103,2,FALSE)/100</f>
        <v>6.4784100000000004E-3</v>
      </c>
      <c r="I38" s="70">
        <f>VLOOKUP(A38,s.windsolar!A46:B103,2,FALSE)/100</f>
        <v>4.5206000000000005E-3</v>
      </c>
      <c r="J38" s="68">
        <f>VLOOKUP(A38,'co2'!A53:B110,2,FALSE)</f>
        <v>143.76</v>
      </c>
    </row>
    <row r="39" spans="1:10" ht="15.6" customHeight="1" x14ac:dyDescent="0.3">
      <c r="A39" s="71" t="s">
        <v>51</v>
      </c>
      <c r="B39" s="98" t="str">
        <f>VLOOKUP(A39,region!$B$2:$M$198,2,FALSE)</f>
        <v>africa</v>
      </c>
      <c r="C39" s="68">
        <f>VLOOKUP(A39,p.greggio!A54:B111,2,FALSE)</f>
        <v>32.718132517999997</v>
      </c>
      <c r="D39" s="68">
        <f>VLOOKUP(A39,p.raffinati!A54:B111,2,FALSE)</f>
        <v>26.926385047</v>
      </c>
      <c r="E39" s="68">
        <f>VLOOKUP(A39,p.coalignite!A54:B111,2,FALSE)</f>
        <v>0</v>
      </c>
      <c r="F39" s="68">
        <f>VLOOKUP(A39,p.gas!A54:B111,2,FALSE)</f>
        <v>53.641716762999998</v>
      </c>
      <c r="G39" s="68">
        <f>VLOOKUP(A39,p.ele!A47:B104,2,FALSE)</f>
        <v>206.56807106900001</v>
      </c>
      <c r="H39" s="70">
        <f>VLOOKUP(A39,s.elerinnov!A47:B104,2,FALSE)/100</f>
        <v>8.2087069999999998E-2</v>
      </c>
      <c r="I39" s="70">
        <f>VLOOKUP(A39,s.windsolar!A47:B104,2,FALSE)/100</f>
        <v>1.6308609999999998E-2</v>
      </c>
      <c r="J39" s="68">
        <f>VLOOKUP(A39,'co2'!A54:B111,2,FALSE)</f>
        <v>212.8</v>
      </c>
    </row>
    <row r="40" spans="1:10" ht="15.6" customHeight="1" x14ac:dyDescent="0.3">
      <c r="A40" s="71" t="s">
        <v>52</v>
      </c>
      <c r="B40" s="98" t="str">
        <f>VLOOKUP(A40,region!$B$2:$M$198,2,FALSE)</f>
        <v>africa</v>
      </c>
      <c r="C40" s="68">
        <f>VLOOKUP(A40,p.greggio!A55:B112,2,FALSE)</f>
        <v>101.340274077</v>
      </c>
      <c r="D40" s="68">
        <f>VLOOKUP(A40,p.raffinati!A55:B112,2,FALSE)</f>
        <v>4.1462032840000003</v>
      </c>
      <c r="E40" s="68">
        <f>VLOOKUP(A40,p.coalignite!A55:B112,2,FALSE)</f>
        <v>4.5999999999999999E-2</v>
      </c>
      <c r="F40" s="68">
        <f>VLOOKUP(A40,p.gas!A55:B112,2,FALSE)</f>
        <v>44.490119473999997</v>
      </c>
      <c r="G40" s="68">
        <f>VLOOKUP(A40,p.ele!A48:B105,2,FALSE)</f>
        <v>33.309560022999996</v>
      </c>
      <c r="H40" s="70">
        <f>VLOOKUP(A40,s.elerinnov!A48:B105,2,FALSE)/100</f>
        <v>0.16724692000000002</v>
      </c>
      <c r="I40" s="70">
        <f>VLOOKUP(A40,s.windsolar!A48:B105,2,FALSE)/100</f>
        <v>0</v>
      </c>
      <c r="J40" s="68">
        <f>VLOOKUP(A40,'co2'!A55:B112,2,FALSE)</f>
        <v>99.38</v>
      </c>
    </row>
    <row r="41" spans="1:10" ht="15.6" customHeight="1" x14ac:dyDescent="0.3">
      <c r="A41" s="71" t="s">
        <v>53</v>
      </c>
      <c r="B41" s="98" t="str">
        <f>VLOOKUP(A41,region!$B$2:$M$198,2,FALSE)</f>
        <v>africa</v>
      </c>
      <c r="C41" s="68">
        <f>VLOOKUP(A41,p.greggio!A56:B113,2,FALSE)</f>
        <v>4.5788633890000003</v>
      </c>
      <c r="D41" s="68">
        <f>VLOOKUP(A41,p.raffinati!A56:B113,2,FALSE)</f>
        <v>21.729593495000003</v>
      </c>
      <c r="E41" s="68">
        <f>VLOOKUP(A41,p.coalignite!A56:B113,2,FALSE)</f>
        <v>256.998989295</v>
      </c>
      <c r="F41" s="68">
        <f>VLOOKUP(A41,p.gas!A56:B113,2,FALSE)</f>
        <v>0.95127586200000003</v>
      </c>
      <c r="G41" s="68">
        <f>VLOOKUP(A41,p.ele!A49:B106,2,FALSE)</f>
        <v>255.96501022000001</v>
      </c>
      <c r="H41" s="70">
        <f>VLOOKUP(A41,s.elerinnov!A49:B106,2,FALSE)/100</f>
        <v>5.2861399999999996E-2</v>
      </c>
      <c r="I41" s="70">
        <f>VLOOKUP(A41,s.windsolar!A49:B106,2,FALSE)/100</f>
        <v>3.1931590000000003E-2</v>
      </c>
      <c r="J41" s="68">
        <f>VLOOKUP(A41,'co2'!A56:B113,2,FALSE)</f>
        <v>427.73</v>
      </c>
    </row>
    <row r="42" spans="1:10" ht="15.6" customHeight="1" x14ac:dyDescent="0.3">
      <c r="A42" s="71" t="s">
        <v>55</v>
      </c>
      <c r="B42" s="98" t="str">
        <f>VLOOKUP(A42,region!$B$2:$M$198,2,FALSE)</f>
        <v>asia</v>
      </c>
      <c r="C42" s="68">
        <f>VLOOKUP(A42,p.greggio!A58:B115,2,FALSE)</f>
        <v>213.51545240000002</v>
      </c>
      <c r="D42" s="68">
        <f>VLOOKUP(A42,p.raffinati!A58:B115,2,FALSE)</f>
        <v>84.067879019000003</v>
      </c>
      <c r="E42" s="68">
        <f>VLOOKUP(A42,p.coalignite!A58:B115,2,FALSE)</f>
        <v>1.39375</v>
      </c>
      <c r="F42" s="68">
        <f>VLOOKUP(A42,p.gas!A58:B115,2,FALSE)</f>
        <v>232.01348583699999</v>
      </c>
      <c r="G42" s="68">
        <f>VLOOKUP(A42,p.ele!A50:B107,2,FALSE)</f>
        <v>310.83532908499996</v>
      </c>
      <c r="H42" s="70">
        <f>VLOOKUP(A42,s.elerinnov!A50:B107,2,FALSE)/100</f>
        <v>5.3179090000000005E-2</v>
      </c>
      <c r="I42" s="70">
        <f>VLOOKUP(A42,s.windsolar!A50:B107,2,FALSE)/100</f>
        <v>1.66467E-3</v>
      </c>
      <c r="J42" s="68">
        <f>VLOOKUP(A42,'co2'!A58:B115,2,FALSE)</f>
        <v>631.77</v>
      </c>
    </row>
    <row r="43" spans="1:10" ht="15.6" customHeight="1" x14ac:dyDescent="0.3">
      <c r="A43" s="71" t="s">
        <v>56</v>
      </c>
      <c r="B43" s="98" t="str">
        <f>VLOOKUP(A43,region!$B$2:$M$198,2,FALSE)</f>
        <v>asia</v>
      </c>
      <c r="C43" s="68">
        <f>VLOOKUP(A43,p.greggio!A59:B116,2,FALSE)</f>
        <v>150.02553645399999</v>
      </c>
      <c r="D43" s="68">
        <f>VLOOKUP(A43,p.raffinati!A59:B116,2,FALSE)</f>
        <v>34.173322374000001</v>
      </c>
      <c r="E43" s="68">
        <f>VLOOKUP(A43,p.coalignite!A59:B116,2,FALSE)</f>
        <v>0</v>
      </c>
      <c r="F43" s="68">
        <f>VLOOKUP(A43,p.gas!A59:B116,2,FALSE)</f>
        <v>18.540748426</v>
      </c>
      <c r="G43" s="68">
        <f>VLOOKUP(A43,p.ele!A51:B108,2,FALSE)</f>
        <v>74.958217673000007</v>
      </c>
      <c r="H43" s="70">
        <f>VLOOKUP(A43,s.elerinnov!A51:B108,2,FALSE)/100</f>
        <v>3.2440000000000001E-5</v>
      </c>
      <c r="I43" s="70">
        <f>VLOOKUP(A43,s.windsolar!A51:B108,2,FALSE)/100</f>
        <v>3.2440000000000001E-5</v>
      </c>
      <c r="J43" s="68">
        <f>VLOOKUP(A43,'co2'!A59:B116,2,FALSE)</f>
        <v>91.63</v>
      </c>
    </row>
    <row r="44" spans="1:10" ht="15.6" customHeight="1" x14ac:dyDescent="0.3">
      <c r="A44" s="71" t="s">
        <v>57</v>
      </c>
      <c r="B44" s="98" t="str">
        <f>VLOOKUP(A44,region!$B$2:$M$198,2,FALSE)</f>
        <v>asia</v>
      </c>
      <c r="C44" s="68">
        <f>VLOOKUP(A44,p.greggio!A60:B117,2,FALSE)</f>
        <v>582.83446038</v>
      </c>
      <c r="D44" s="68">
        <f>VLOOKUP(A44,p.raffinati!A60:B117,2,FALSE)</f>
        <v>164.30790696299999</v>
      </c>
      <c r="E44" s="68">
        <f>VLOOKUP(A44,p.coalignite!A60:B117,2,FALSE)</f>
        <v>0</v>
      </c>
      <c r="F44" s="68">
        <f>VLOOKUP(A44,p.gas!A60:B117,2,FALSE)</f>
        <v>97.644571755000001</v>
      </c>
      <c r="G44" s="68">
        <f>VLOOKUP(A44,p.ele!A52:B109,2,FALSE)</f>
        <v>351.14301088999997</v>
      </c>
      <c r="H44" s="70">
        <f>VLOOKUP(A44,s.elerinnov!A52:B109,2,FALSE)/100</f>
        <v>4.3699999999999997E-6</v>
      </c>
      <c r="I44" s="70">
        <f>VLOOKUP(A44,s.windsolar!A52:B109,2,FALSE)/100</f>
        <v>4.3699999999999997E-6</v>
      </c>
      <c r="J44" s="68">
        <f>VLOOKUP(A44,'co2'!A60:B117,2,FALSE)</f>
        <v>535.67999999999995</v>
      </c>
    </row>
    <row r="45" spans="1:10" ht="15.6" customHeight="1" x14ac:dyDescent="0.3">
      <c r="A45" s="71" t="s">
        <v>58</v>
      </c>
      <c r="B45" s="98" t="str">
        <f>VLOOKUP(A45,region!$B$2:$M$198,2,FALSE)</f>
        <v>asia</v>
      </c>
      <c r="C45" s="68">
        <f>VLOOKUP(A45,p.greggio!A61:B118,2,FALSE)</f>
        <v>180.84692912200001</v>
      </c>
      <c r="D45" s="68">
        <f>VLOOKUP(A45,p.raffinati!A61:B118,2,FALSE)</f>
        <v>58.392850230999997</v>
      </c>
      <c r="E45" s="68">
        <f>VLOOKUP(A45,p.coalignite!A61:B118,2,FALSE)</f>
        <v>0</v>
      </c>
      <c r="F45" s="68">
        <f>VLOOKUP(A45,p.gas!A61:B118,2,FALSE)</f>
        <v>61.73354475</v>
      </c>
      <c r="G45" s="68">
        <f>VLOOKUP(A45,p.ele!A53:B110,2,FALSE)</f>
        <v>136.93032893</v>
      </c>
      <c r="H45" s="70">
        <f>VLOOKUP(A45,s.elerinnov!A53:B110,2,FALSE)/100</f>
        <v>4.4257200000000002E-3</v>
      </c>
      <c r="I45" s="70">
        <f>VLOOKUP(A45,s.windsolar!A53:B110,2,FALSE)/100</f>
        <v>4.4257200000000002E-3</v>
      </c>
      <c r="J45" s="68">
        <f>VLOOKUP(A45,'co2'!A61:B118,2,FALSE)</f>
        <v>188.5</v>
      </c>
    </row>
    <row r="57" spans="8:8" x14ac:dyDescent="0.3">
      <c r="H57" s="95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EEB99-E63C-4A3A-BBE0-C95FFC2122BC}">
  <dimension ref="A1:F18"/>
  <sheetViews>
    <sheetView tabSelected="1" zoomScale="80" zoomScaleNormal="80" workbookViewId="0">
      <selection activeCell="D8" sqref="D8"/>
    </sheetView>
  </sheetViews>
  <sheetFormatPr defaultRowHeight="14.4" x14ac:dyDescent="0.3"/>
  <cols>
    <col min="1" max="1" width="14.5546875" bestFit="1" customWidth="1"/>
    <col min="2" max="2" width="71.6640625" bestFit="1" customWidth="1"/>
    <col min="3" max="3" width="43" bestFit="1" customWidth="1"/>
    <col min="4" max="4" width="19.88671875" bestFit="1" customWidth="1"/>
  </cols>
  <sheetData>
    <row r="1" spans="1:6" x14ac:dyDescent="0.3">
      <c r="A1" s="94" t="s">
        <v>62</v>
      </c>
      <c r="B1" s="94" t="s">
        <v>63</v>
      </c>
      <c r="C1" s="94" t="s">
        <v>64</v>
      </c>
      <c r="D1" s="94" t="s">
        <v>65</v>
      </c>
    </row>
    <row r="2" spans="1:6" x14ac:dyDescent="0.3">
      <c r="A2" s="90" t="s">
        <v>486</v>
      </c>
      <c r="B2" s="93" t="s">
        <v>66</v>
      </c>
      <c r="C2" s="93" t="s">
        <v>66</v>
      </c>
      <c r="D2" s="93" t="s">
        <v>490</v>
      </c>
    </row>
    <row r="3" spans="1:6" s="12" customFormat="1" x14ac:dyDescent="0.3">
      <c r="A3" s="90" t="s">
        <v>485</v>
      </c>
      <c r="B3" s="93" t="s">
        <v>487</v>
      </c>
      <c r="C3" s="93" t="s">
        <v>489</v>
      </c>
      <c r="D3" s="93" t="s">
        <v>488</v>
      </c>
    </row>
    <row r="4" spans="1:6" x14ac:dyDescent="0.3">
      <c r="A4" s="90" t="s">
        <v>76</v>
      </c>
      <c r="B4" s="93" t="s">
        <v>67</v>
      </c>
      <c r="C4" s="93" t="s">
        <v>71</v>
      </c>
      <c r="D4" s="93" t="s">
        <v>72</v>
      </c>
    </row>
    <row r="5" spans="1:6" x14ac:dyDescent="0.3">
      <c r="A5" s="90" t="s">
        <v>77</v>
      </c>
      <c r="B5" s="93" t="s">
        <v>68</v>
      </c>
      <c r="C5" s="93" t="s">
        <v>71</v>
      </c>
      <c r="D5" s="93" t="s">
        <v>72</v>
      </c>
    </row>
    <row r="6" spans="1:6" x14ac:dyDescent="0.3">
      <c r="A6" s="90" t="s">
        <v>78</v>
      </c>
      <c r="B6" s="93" t="s">
        <v>69</v>
      </c>
      <c r="C6" s="93" t="s">
        <v>71</v>
      </c>
      <c r="D6" s="93" t="s">
        <v>72</v>
      </c>
    </row>
    <row r="7" spans="1:6" s="11" customFormat="1" x14ac:dyDescent="0.3">
      <c r="A7" s="90" t="s">
        <v>79</v>
      </c>
      <c r="B7" s="93" t="s">
        <v>90</v>
      </c>
      <c r="C7" s="93" t="s">
        <v>71</v>
      </c>
      <c r="D7" s="93" t="s">
        <v>72</v>
      </c>
    </row>
    <row r="8" spans="1:6" x14ac:dyDescent="0.3">
      <c r="A8" s="91" t="s">
        <v>86</v>
      </c>
      <c r="B8" s="93" t="s">
        <v>87</v>
      </c>
      <c r="C8" s="93" t="s">
        <v>71</v>
      </c>
      <c r="D8" s="93" t="s">
        <v>72</v>
      </c>
    </row>
    <row r="9" spans="1:6" s="11" customFormat="1" x14ac:dyDescent="0.3">
      <c r="A9" s="90" t="s">
        <v>80</v>
      </c>
      <c r="B9" s="93" t="s">
        <v>88</v>
      </c>
      <c r="C9" s="93" t="s">
        <v>84</v>
      </c>
      <c r="D9" s="93" t="s">
        <v>72</v>
      </c>
      <c r="F9" s="69"/>
    </row>
    <row r="10" spans="1:6" x14ac:dyDescent="0.3">
      <c r="A10" s="90" t="s">
        <v>83</v>
      </c>
      <c r="B10" s="93" t="s">
        <v>89</v>
      </c>
      <c r="C10" s="93" t="s">
        <v>84</v>
      </c>
      <c r="D10" s="93" t="s">
        <v>72</v>
      </c>
    </row>
    <row r="11" spans="1:6" x14ac:dyDescent="0.3">
      <c r="A11" s="99" t="s">
        <v>82</v>
      </c>
      <c r="B11" s="93" t="s">
        <v>70</v>
      </c>
      <c r="C11" s="93" t="s">
        <v>71</v>
      </c>
      <c r="D11" s="93" t="s">
        <v>72</v>
      </c>
    </row>
    <row r="13" spans="1:6" x14ac:dyDescent="0.3">
      <c r="B13" s="96" t="s">
        <v>93</v>
      </c>
    </row>
    <row r="14" spans="1:6" x14ac:dyDescent="0.3">
      <c r="B14" s="96" t="s">
        <v>91</v>
      </c>
    </row>
    <row r="15" spans="1:6" x14ac:dyDescent="0.3">
      <c r="B15" s="96" t="s">
        <v>92</v>
      </c>
    </row>
    <row r="16" spans="1:6" x14ac:dyDescent="0.3">
      <c r="B16" s="69"/>
    </row>
    <row r="18" spans="2:2" x14ac:dyDescent="0.3">
      <c r="B18" s="9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11</vt:i4>
      </vt:variant>
    </vt:vector>
  </HeadingPairs>
  <TitlesOfParts>
    <vt:vector size="11" baseType="lpstr">
      <vt:lpstr>region</vt:lpstr>
      <vt:lpstr>p.greggio</vt:lpstr>
      <vt:lpstr>p.raffinati</vt:lpstr>
      <vt:lpstr>p.coalignite</vt:lpstr>
      <vt:lpstr>p.gas</vt:lpstr>
      <vt:lpstr>p.ele</vt:lpstr>
      <vt:lpstr>s.elerinnov</vt:lpstr>
      <vt:lpstr>s.windsolar</vt:lpstr>
      <vt:lpstr>co2</vt:lpstr>
      <vt:lpstr>unionedati</vt:lpstr>
      <vt:lpstr>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Giulio Mazzarelli</dc:creator>
  <cp:lastModifiedBy>Giulio Mazzarelli</cp:lastModifiedBy>
  <dcterms:created xsi:type="dcterms:W3CDTF">2020-06-13T17:00:40Z</dcterms:created>
  <dcterms:modified xsi:type="dcterms:W3CDTF">2020-06-19T16:05:35Z</dcterms:modified>
</cp:coreProperties>
</file>